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30"/>
  <workbookPr defaultThemeVersion="166925"/>
  <mc:AlternateContent xmlns:mc="http://schemas.openxmlformats.org/markup-compatibility/2006">
    <mc:Choice Requires="x15">
      <x15ac:absPath xmlns:x15ac="http://schemas.microsoft.com/office/spreadsheetml/2010/11/ac" url="C:\Users\Sebasteitor\Desktop\MODELOS ECONOMETRICOS\DATA\"/>
    </mc:Choice>
  </mc:AlternateContent>
  <xr:revisionPtr revIDLastSave="0" documentId="13_ncr:1_{8594394E-1FDF-4B6A-B599-4959DE153F7F}" xr6:coauthVersionLast="47" xr6:coauthVersionMax="47" xr10:uidLastSave="{00000000-0000-0000-0000-000000000000}"/>
  <bookViews>
    <workbookView xWindow="8595" yWindow="0" windowWidth="18495" windowHeight="15585" firstSheet="1" activeTab="1" xr2:uid="{095C6490-9A8D-4235-A476-97B526380A02}"/>
  </bookViews>
  <sheets>
    <sheet name="BD" sheetId="5" state="hidden" r:id="rId1"/>
    <sheet name="bd-tri" sheetId="10" r:id="rId2"/>
    <sheet name="Mensuales (2)" sheetId="9" state="hidden" r:id="rId3"/>
    <sheet name="PBI" sheetId="2" state="hidden" r:id="rId4"/>
    <sheet name="TIR" sheetId="3" state="hidden" r:id="rId5"/>
    <sheet name="Tasa de encaje" sheetId="4" state="hidden" r:id="rId6"/>
    <sheet name="Hoja1" sheetId="1" state="hidden" r:id="rId7"/>
    <sheet name="base mone" sheetId="7" state="hidden" r:id="rId8"/>
    <sheet name="Mensuales" sheetId="8" state="hidden" r:id="rId9"/>
    <sheet name="M1" sheetId="11" state="hidden" r:id="rId10"/>
    <sheet name="M2" sheetId="12" state="hidden" r:id="rId11"/>
    <sheet name="M3- Bonos" sheetId="13" state="hidden" r:id="rId12"/>
  </sheets>
  <definedNames>
    <definedName name="_xlnm._FilterDatabase" localSheetId="4" hidden="1">TIR!$A$1:$B$182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8" i="11" l="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77" i="11"/>
  <c r="F182" i="11"/>
  <c r="F179" i="11"/>
  <c r="F176" i="11"/>
  <c r="F173" i="11"/>
  <c r="F170" i="11"/>
  <c r="F167" i="11"/>
  <c r="F164" i="11"/>
  <c r="F161" i="11"/>
  <c r="F158" i="11"/>
  <c r="F155" i="11"/>
  <c r="F152" i="11"/>
  <c r="F149" i="11"/>
  <c r="F146" i="11"/>
  <c r="F143" i="11"/>
  <c r="F140" i="11"/>
  <c r="F137" i="11"/>
  <c r="F134" i="11"/>
  <c r="F131" i="11"/>
  <c r="F128" i="11"/>
  <c r="F125" i="11"/>
  <c r="F122" i="11"/>
  <c r="F119" i="11"/>
  <c r="F116" i="11"/>
  <c r="F113" i="11"/>
  <c r="F110" i="11"/>
  <c r="F107" i="11"/>
  <c r="F104" i="11"/>
  <c r="F101" i="11"/>
  <c r="F98" i="11"/>
  <c r="F95" i="11"/>
  <c r="F92" i="11"/>
  <c r="F89" i="11"/>
  <c r="F86" i="11"/>
  <c r="F83" i="11"/>
  <c r="F80" i="11"/>
  <c r="F77" i="11"/>
  <c r="D182" i="13"/>
  <c r="D179" i="13"/>
  <c r="D176" i="13"/>
  <c r="D173" i="13"/>
  <c r="D170" i="13"/>
  <c r="D167" i="13"/>
  <c r="D164" i="13"/>
  <c r="D161" i="13"/>
  <c r="D158" i="13"/>
  <c r="D155" i="13"/>
  <c r="D152" i="13"/>
  <c r="D149" i="13"/>
  <c r="D146" i="13"/>
  <c r="D143" i="13"/>
  <c r="D140" i="13"/>
  <c r="D137" i="13"/>
  <c r="D134" i="13"/>
  <c r="D131" i="13"/>
  <c r="D128" i="13"/>
  <c r="D125" i="13"/>
  <c r="D122" i="13"/>
  <c r="D119" i="13"/>
  <c r="D116" i="13"/>
  <c r="D113" i="13"/>
  <c r="D110" i="13"/>
  <c r="D107" i="13"/>
  <c r="D104" i="13"/>
  <c r="D101" i="13"/>
  <c r="D98" i="13"/>
  <c r="D95" i="13"/>
  <c r="D92" i="13"/>
  <c r="D89" i="13"/>
  <c r="D86" i="13"/>
  <c r="D83" i="13"/>
  <c r="D80" i="13"/>
  <c r="D77" i="13"/>
  <c r="D77" i="12"/>
  <c r="D80" i="12"/>
  <c r="D83" i="12"/>
  <c r="D86" i="12"/>
  <c r="D89" i="12"/>
  <c r="D92" i="12"/>
  <c r="D95" i="12"/>
  <c r="D98" i="12"/>
  <c r="D101" i="12"/>
  <c r="D104" i="12"/>
  <c r="D107" i="12"/>
  <c r="D110" i="12"/>
  <c r="D113" i="12"/>
  <c r="D116" i="12"/>
  <c r="D119" i="12"/>
  <c r="D122" i="12"/>
  <c r="D125" i="12"/>
  <c r="D128" i="12"/>
  <c r="D131" i="12"/>
  <c r="D134" i="12"/>
  <c r="D137" i="12"/>
  <c r="D140" i="12"/>
  <c r="D143" i="12"/>
  <c r="D146" i="12"/>
  <c r="D149" i="12"/>
  <c r="D152" i="12"/>
  <c r="D155" i="12"/>
  <c r="D158" i="12"/>
  <c r="D161" i="12"/>
  <c r="D164" i="12"/>
  <c r="D167" i="12"/>
  <c r="D170" i="12"/>
  <c r="D173" i="12"/>
  <c r="D176" i="12"/>
  <c r="D179" i="12"/>
  <c r="D182" i="12"/>
  <c r="D77" i="11"/>
  <c r="D80" i="11"/>
  <c r="D83" i="11"/>
  <c r="D86" i="11"/>
  <c r="D89" i="11"/>
  <c r="D92" i="11"/>
  <c r="D95" i="11"/>
  <c r="D98" i="11"/>
  <c r="D101" i="11"/>
  <c r="D104" i="11"/>
  <c r="D107" i="11"/>
  <c r="D110" i="11"/>
  <c r="D113" i="11"/>
  <c r="D116" i="11"/>
  <c r="D119" i="11"/>
  <c r="D122" i="11"/>
  <c r="D125" i="11"/>
  <c r="D128" i="11"/>
  <c r="D131" i="11"/>
  <c r="D134" i="11"/>
  <c r="D137" i="11"/>
  <c r="D140" i="11"/>
  <c r="D143" i="11"/>
  <c r="D146" i="11"/>
  <c r="D149" i="11"/>
  <c r="D152" i="11"/>
  <c r="D155" i="11"/>
  <c r="D158" i="11"/>
  <c r="D161" i="11"/>
  <c r="D164" i="11"/>
  <c r="D167" i="11"/>
  <c r="D170" i="11"/>
  <c r="D173" i="11"/>
  <c r="D176" i="11"/>
  <c r="D179" i="11"/>
  <c r="D182" i="11"/>
  <c r="D77" i="4"/>
  <c r="D182" i="4"/>
  <c r="D179" i="4"/>
  <c r="D176" i="4"/>
  <c r="D173" i="4"/>
  <c r="D170" i="4"/>
  <c r="D167" i="4"/>
  <c r="D164" i="4"/>
  <c r="D161" i="4"/>
  <c r="D158" i="4"/>
  <c r="D155" i="4"/>
  <c r="D152" i="4"/>
  <c r="D149" i="4"/>
  <c r="D146" i="4"/>
  <c r="D143" i="4"/>
  <c r="D140" i="4"/>
  <c r="D137" i="4"/>
  <c r="D134" i="4"/>
  <c r="D131" i="4"/>
  <c r="D128" i="4"/>
  <c r="D125" i="4"/>
  <c r="D122" i="4"/>
  <c r="D119" i="4"/>
  <c r="D116" i="4"/>
  <c r="D113" i="4"/>
  <c r="D110" i="4"/>
  <c r="D107" i="4"/>
  <c r="D104" i="4"/>
  <c r="D101" i="4"/>
  <c r="D98" i="4"/>
  <c r="D95" i="4"/>
  <c r="D92" i="4"/>
  <c r="D89" i="4"/>
  <c r="D86" i="4"/>
  <c r="D83" i="4"/>
  <c r="D80" i="4"/>
  <c r="D182" i="3"/>
  <c r="D179" i="3"/>
  <c r="D176" i="3"/>
  <c r="D173" i="3"/>
  <c r="D170" i="3"/>
  <c r="D167" i="3"/>
  <c r="D164" i="3"/>
  <c r="D161" i="3"/>
  <c r="D158" i="3"/>
  <c r="D155" i="3"/>
  <c r="D152" i="3"/>
  <c r="D149" i="3"/>
  <c r="D146" i="3"/>
  <c r="D143" i="3"/>
  <c r="D140" i="3"/>
  <c r="D137" i="3"/>
  <c r="D134" i="3"/>
  <c r="D131" i="3"/>
  <c r="D128" i="3"/>
  <c r="D125" i="3"/>
  <c r="D122" i="3"/>
  <c r="D119" i="3"/>
  <c r="D116" i="3"/>
  <c r="D113" i="3"/>
  <c r="D110" i="3"/>
  <c r="D107" i="3"/>
  <c r="D104" i="3"/>
  <c r="D101" i="3"/>
  <c r="D98" i="3"/>
  <c r="D95" i="3"/>
  <c r="D92" i="3"/>
  <c r="D89" i="3"/>
  <c r="D86" i="3"/>
  <c r="D83" i="3"/>
  <c r="D80" i="3"/>
  <c r="D77" i="3"/>
  <c r="D182" i="9"/>
  <c r="D179" i="9"/>
  <c r="D176" i="9"/>
  <c r="D173" i="9"/>
  <c r="D170" i="9"/>
  <c r="D167" i="9"/>
  <c r="D164" i="9"/>
  <c r="D161" i="9"/>
  <c r="D158" i="9"/>
  <c r="D155" i="9"/>
  <c r="D152" i="9"/>
  <c r="D149" i="9"/>
  <c r="D146" i="9"/>
  <c r="D143" i="9"/>
  <c r="D140" i="9"/>
  <c r="D137" i="9"/>
  <c r="D134" i="9"/>
  <c r="D131" i="9"/>
  <c r="D128" i="9"/>
  <c r="D125" i="9"/>
  <c r="D122" i="9"/>
  <c r="D119" i="9"/>
  <c r="D116" i="9"/>
  <c r="D113" i="9"/>
  <c r="D110" i="9"/>
  <c r="D107" i="9"/>
  <c r="D104" i="9"/>
  <c r="D101" i="9"/>
  <c r="D98" i="9"/>
  <c r="D95" i="9"/>
  <c r="D92" i="9"/>
  <c r="D89" i="9"/>
  <c r="D86" i="9"/>
  <c r="D83" i="9"/>
  <c r="D80" i="9"/>
  <c r="D7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 authorId="0" shapeId="0" xr:uid="{3A359B55-66DA-433B-93CB-A3972F2B0C69}">
      <text>
        <r>
          <rPr>
            <b/>
            <sz val="9"/>
            <color indexed="81"/>
            <rFont val="Tahoma"/>
            <family val="2"/>
          </rPr>
          <t>admin:</t>
        </r>
        <r>
          <rPr>
            <sz val="9"/>
            <color indexed="81"/>
            <rFont val="Tahoma"/>
            <family val="2"/>
          </rPr>
          <t xml:space="preserve">
EN VAR SERIA CRECIMIENTO, esta en millones </t>
        </r>
      </text>
    </comment>
    <comment ref="D1" authorId="0" shapeId="0" xr:uid="{66BB8125-776E-4D5A-8D52-5DE0210CEB08}">
      <text>
        <r>
          <rPr>
            <b/>
            <sz val="9"/>
            <color indexed="81"/>
            <rFont val="Tahoma"/>
            <family val="2"/>
          </rPr>
          <t>admin:</t>
        </r>
        <r>
          <rPr>
            <sz val="9"/>
            <color indexed="81"/>
            <rFont val="Tahoma"/>
            <family val="2"/>
          </rPr>
          <t xml:space="preserve">
https://apps5.mineco.gob.pe/transparenciaingresos/Navegador/default.aspx?y=2010, esta en millones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 authorId="0" shapeId="0" xr:uid="{B6D89247-3B2C-476C-BECD-D040538652D9}">
      <text>
        <r>
          <rPr>
            <b/>
            <sz val="9"/>
            <color indexed="81"/>
            <rFont val="Tahoma"/>
            <family val="2"/>
          </rPr>
          <t>admin:</t>
        </r>
        <r>
          <rPr>
            <sz val="9"/>
            <color indexed="81"/>
            <rFont val="Tahoma"/>
            <family val="2"/>
          </rPr>
          <t xml:space="preserve">
EN VAR SERIA CRECIMIENTO, esta en millones </t>
        </r>
      </text>
    </comment>
    <comment ref="D1" authorId="0" shapeId="0" xr:uid="{55469F4B-4921-4360-9F0D-D64EFF28BC29}">
      <text>
        <r>
          <rPr>
            <b/>
            <sz val="9"/>
            <color indexed="81"/>
            <rFont val="Tahoma"/>
            <family val="2"/>
          </rPr>
          <t>admin:</t>
        </r>
        <r>
          <rPr>
            <sz val="9"/>
            <color indexed="81"/>
            <rFont val="Tahoma"/>
            <family val="2"/>
          </rPr>
          <t xml:space="preserve">
https://apps5.mineco.gob.pe/transparenciaingresos/Navegador/default.aspx?y=2010, esta en millones 
</t>
        </r>
      </text>
    </comment>
    <comment ref="I1" authorId="0" shapeId="0" xr:uid="{3F5F18E2-81A1-4E53-8578-166CA6372B8D}">
      <text>
        <r>
          <rPr>
            <b/>
            <sz val="9"/>
            <color indexed="81"/>
            <rFont val="Tahoma"/>
            <family val="2"/>
          </rPr>
          <t>admin:</t>
        </r>
        <r>
          <rPr>
            <sz val="9"/>
            <color indexed="81"/>
            <rFont val="Tahoma"/>
            <family val="2"/>
          </rPr>
          <t xml:space="preserve">
EN VAR SERIA CRECIMIENTO, esta en millones </t>
        </r>
      </text>
    </comment>
    <comment ref="K1" authorId="0" shapeId="0" xr:uid="{AC46B874-349F-4AAB-9A4E-E455DBE28173}">
      <text>
        <r>
          <rPr>
            <b/>
            <sz val="9"/>
            <color indexed="81"/>
            <rFont val="Tahoma"/>
            <family val="2"/>
          </rPr>
          <t>admin:</t>
        </r>
        <r>
          <rPr>
            <sz val="9"/>
            <color indexed="81"/>
            <rFont val="Tahoma"/>
            <family val="2"/>
          </rPr>
          <t xml:space="preserve">
https://apps5.mineco.gob.pe/transparenciaingresos/Navegador/default.aspx?y=2010, esta en millones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2" authorId="0" shapeId="0" xr:uid="{AA23F048-FF17-4434-8E68-47228D4FA19A}">
      <text>
        <r>
          <rPr>
            <b/>
            <sz val="9"/>
            <color indexed="81"/>
            <rFont val="Tahoma"/>
            <family val="2"/>
          </rPr>
          <t>admin:</t>
        </r>
        <r>
          <rPr>
            <sz val="9"/>
            <color indexed="81"/>
            <rFont val="Tahoma"/>
            <family val="2"/>
          </rPr>
          <t xml:space="preserve">
EN VAR SERIA CRECIMIENTO </t>
        </r>
      </text>
    </comment>
    <comment ref="E2" authorId="0" shapeId="0" xr:uid="{01E49981-72B6-44CF-ABF9-A430956E9A67}">
      <text>
        <r>
          <rPr>
            <b/>
            <sz val="9"/>
            <color indexed="81"/>
            <rFont val="Tahoma"/>
            <family val="2"/>
          </rPr>
          <t>admin:</t>
        </r>
        <r>
          <rPr>
            <sz val="9"/>
            <color indexed="81"/>
            <rFont val="Tahoma"/>
            <family val="2"/>
          </rPr>
          <t xml:space="preserve">
https://apps5.mineco.gob.pe/transparenciaingresos/Navegador/default.aspx?y=2010</t>
        </r>
      </text>
    </comment>
  </commentList>
</comments>
</file>

<file path=xl/sharedStrings.xml><?xml version="1.0" encoding="utf-8"?>
<sst xmlns="http://schemas.openxmlformats.org/spreadsheetml/2006/main" count="1577" uniqueCount="306">
  <si>
    <t>TIR</t>
  </si>
  <si>
    <t>PBI</t>
  </si>
  <si>
    <t>P.Monetaria</t>
  </si>
  <si>
    <t>P. Fiscal</t>
  </si>
  <si>
    <t>Tasa de encaje</t>
  </si>
  <si>
    <t>Cre. Economico</t>
  </si>
  <si>
    <t>Año</t>
  </si>
  <si>
    <t>PN02538AQ</t>
  </si>
  <si>
    <t>Producto bruto interno por tipo de gasto (millones S/ 2007) - PBI</t>
  </si>
  <si>
    <t>T110</t>
  </si>
  <si>
    <t>T210</t>
  </si>
  <si>
    <t>T310</t>
  </si>
  <si>
    <t>T410</t>
  </si>
  <si>
    <t>T111</t>
  </si>
  <si>
    <t>T211</t>
  </si>
  <si>
    <t>T311</t>
  </si>
  <si>
    <t>T411</t>
  </si>
  <si>
    <t>T112</t>
  </si>
  <si>
    <t>T212</t>
  </si>
  <si>
    <t>T312</t>
  </si>
  <si>
    <t>T412</t>
  </si>
  <si>
    <t>T113</t>
  </si>
  <si>
    <t>T213</t>
  </si>
  <si>
    <t>T313</t>
  </si>
  <si>
    <t>T413</t>
  </si>
  <si>
    <t>T114</t>
  </si>
  <si>
    <t>T214</t>
  </si>
  <si>
    <t>T314</t>
  </si>
  <si>
    <t>T414</t>
  </si>
  <si>
    <t>T115</t>
  </si>
  <si>
    <t>T215</t>
  </si>
  <si>
    <t>T315</t>
  </si>
  <si>
    <t>T415</t>
  </si>
  <si>
    <t>T116</t>
  </si>
  <si>
    <t>T216</t>
  </si>
  <si>
    <t>T316</t>
  </si>
  <si>
    <t>T416</t>
  </si>
  <si>
    <t>T117</t>
  </si>
  <si>
    <t>T217</t>
  </si>
  <si>
    <t>T317</t>
  </si>
  <si>
    <t>T417</t>
  </si>
  <si>
    <t>T118</t>
  </si>
  <si>
    <t>T218</t>
  </si>
  <si>
    <t>T318</t>
  </si>
  <si>
    <t>T418</t>
  </si>
  <si>
    <t>T119</t>
  </si>
  <si>
    <t>T219</t>
  </si>
  <si>
    <t>T319</t>
  </si>
  <si>
    <t>T419</t>
  </si>
  <si>
    <t>T120</t>
  </si>
  <si>
    <t>T220</t>
  </si>
  <si>
    <t>T320</t>
  </si>
  <si>
    <t>T420</t>
  </si>
  <si>
    <t>T121</t>
  </si>
  <si>
    <t>T221</t>
  </si>
  <si>
    <t>T321</t>
  </si>
  <si>
    <t>T421</t>
  </si>
  <si>
    <t>T122</t>
  </si>
  <si>
    <t>T222</t>
  </si>
  <si>
    <t>T322</t>
  </si>
  <si>
    <t>T422</t>
  </si>
  <si>
    <t>T123</t>
  </si>
  <si>
    <t>T223</t>
  </si>
  <si>
    <t>T323</t>
  </si>
  <si>
    <t>T423</t>
  </si>
  <si>
    <t>T124</t>
  </si>
  <si>
    <t>T224</t>
  </si>
  <si>
    <t>T324</t>
  </si>
  <si>
    <t>T424</t>
  </si>
  <si>
    <t>Ingresos Fiscales</t>
  </si>
  <si>
    <t>Dic24</t>
  </si>
  <si>
    <t>Nov24</t>
  </si>
  <si>
    <t>Oct24</t>
  </si>
  <si>
    <t>Sep24</t>
  </si>
  <si>
    <t>Ago24</t>
  </si>
  <si>
    <t>Jul24</t>
  </si>
  <si>
    <t>Jun24</t>
  </si>
  <si>
    <t>May24</t>
  </si>
  <si>
    <t>Abr24</t>
  </si>
  <si>
    <t>Mar24</t>
  </si>
  <si>
    <t>Feb24</t>
  </si>
  <si>
    <t>Ene24</t>
  </si>
  <si>
    <t>Dic23</t>
  </si>
  <si>
    <t>Nov23</t>
  </si>
  <si>
    <t>Oct23</t>
  </si>
  <si>
    <t>Sep23</t>
  </si>
  <si>
    <t>Ago23</t>
  </si>
  <si>
    <t>Jul23</t>
  </si>
  <si>
    <t>Jun23</t>
  </si>
  <si>
    <t>May23</t>
  </si>
  <si>
    <t>Abr23</t>
  </si>
  <si>
    <t>Mar23</t>
  </si>
  <si>
    <t>Feb23</t>
  </si>
  <si>
    <t>Ene23</t>
  </si>
  <si>
    <t>Dic22</t>
  </si>
  <si>
    <t>Nov22</t>
  </si>
  <si>
    <t>Oct22</t>
  </si>
  <si>
    <t>Sep22</t>
  </si>
  <si>
    <t>Ago22</t>
  </si>
  <si>
    <t>Jul22</t>
  </si>
  <si>
    <t>Jun22</t>
  </si>
  <si>
    <t>May22</t>
  </si>
  <si>
    <t>Abr22</t>
  </si>
  <si>
    <t>Mar22</t>
  </si>
  <si>
    <t>Feb22</t>
  </si>
  <si>
    <t>Ene22</t>
  </si>
  <si>
    <t>Dic21</t>
  </si>
  <si>
    <t>Nov21</t>
  </si>
  <si>
    <t>Oct21</t>
  </si>
  <si>
    <t>Sep21</t>
  </si>
  <si>
    <t>Ago21</t>
  </si>
  <si>
    <t>Jul21</t>
  </si>
  <si>
    <t>Jun21</t>
  </si>
  <si>
    <t>May21</t>
  </si>
  <si>
    <t>Abr21</t>
  </si>
  <si>
    <t>Mar21</t>
  </si>
  <si>
    <t>Feb21</t>
  </si>
  <si>
    <t>Ene21</t>
  </si>
  <si>
    <t>Dic20</t>
  </si>
  <si>
    <t>Nov20</t>
  </si>
  <si>
    <t>Oct20</t>
  </si>
  <si>
    <t>Sep20</t>
  </si>
  <si>
    <t>Ago20</t>
  </si>
  <si>
    <t>Jul20</t>
  </si>
  <si>
    <t>Jun20</t>
  </si>
  <si>
    <t>May20</t>
  </si>
  <si>
    <t>Abr20</t>
  </si>
  <si>
    <t>Mar20</t>
  </si>
  <si>
    <t>Feb20</t>
  </si>
  <si>
    <t>Ene20</t>
  </si>
  <si>
    <t>Dic19</t>
  </si>
  <si>
    <t>Nov19</t>
  </si>
  <si>
    <t>Oct19</t>
  </si>
  <si>
    <t>Sep19</t>
  </si>
  <si>
    <t>Ago19</t>
  </si>
  <si>
    <t>Jul19</t>
  </si>
  <si>
    <t>Jun19</t>
  </si>
  <si>
    <t>May19</t>
  </si>
  <si>
    <t>Abr19</t>
  </si>
  <si>
    <t>Mar19</t>
  </si>
  <si>
    <t>Feb19</t>
  </si>
  <si>
    <t>Ene19</t>
  </si>
  <si>
    <t>Dic18</t>
  </si>
  <si>
    <t>Nov18</t>
  </si>
  <si>
    <t>Oct18</t>
  </si>
  <si>
    <t>Sep18</t>
  </si>
  <si>
    <t>Ago18</t>
  </si>
  <si>
    <t>Jul18</t>
  </si>
  <si>
    <t>Jun18</t>
  </si>
  <si>
    <t>May18</t>
  </si>
  <si>
    <t>Abr18</t>
  </si>
  <si>
    <t>Mar18</t>
  </si>
  <si>
    <t>Feb18</t>
  </si>
  <si>
    <t>Ene18</t>
  </si>
  <si>
    <t>Dic17</t>
  </si>
  <si>
    <t>Nov17</t>
  </si>
  <si>
    <t>Oct17</t>
  </si>
  <si>
    <t>Sep17</t>
  </si>
  <si>
    <t>Ago17</t>
  </si>
  <si>
    <t>Jul17</t>
  </si>
  <si>
    <t>Jun17</t>
  </si>
  <si>
    <t>May17</t>
  </si>
  <si>
    <t>Abr17</t>
  </si>
  <si>
    <t>Mar17</t>
  </si>
  <si>
    <t>Feb17</t>
  </si>
  <si>
    <t>Ene17</t>
  </si>
  <si>
    <t>Dic16</t>
  </si>
  <si>
    <t>Nov16</t>
  </si>
  <si>
    <t>Oct16</t>
  </si>
  <si>
    <t>Sep16</t>
  </si>
  <si>
    <t>Ago16</t>
  </si>
  <si>
    <t>Jul16</t>
  </si>
  <si>
    <t>Jun16</t>
  </si>
  <si>
    <t>May16</t>
  </si>
  <si>
    <t>Abr16</t>
  </si>
  <si>
    <t>Mar16</t>
  </si>
  <si>
    <t>Feb16</t>
  </si>
  <si>
    <t>Ene16</t>
  </si>
  <si>
    <t>Dic15</t>
  </si>
  <si>
    <t>Nov15</t>
  </si>
  <si>
    <t>Oct15</t>
  </si>
  <si>
    <t>Sep15</t>
  </si>
  <si>
    <t>Ago15</t>
  </si>
  <si>
    <t>Jul15</t>
  </si>
  <si>
    <t>Jun15</t>
  </si>
  <si>
    <t>May15</t>
  </si>
  <si>
    <t>Abr15</t>
  </si>
  <si>
    <t>Mar15</t>
  </si>
  <si>
    <t>Feb15</t>
  </si>
  <si>
    <t>Ene15</t>
  </si>
  <si>
    <t>Dic14</t>
  </si>
  <si>
    <t>Nov14</t>
  </si>
  <si>
    <t>Oct14</t>
  </si>
  <si>
    <t>Sep14</t>
  </si>
  <si>
    <t>Ago14</t>
  </si>
  <si>
    <t>Jul14</t>
  </si>
  <si>
    <t>Jun14</t>
  </si>
  <si>
    <t>May14</t>
  </si>
  <si>
    <t>Abr14</t>
  </si>
  <si>
    <t>Mar14</t>
  </si>
  <si>
    <t>Feb14</t>
  </si>
  <si>
    <t>Ene14</t>
  </si>
  <si>
    <t>Dic13</t>
  </si>
  <si>
    <t>Nov13</t>
  </si>
  <si>
    <t>Oct13</t>
  </si>
  <si>
    <t>Sep13</t>
  </si>
  <si>
    <t>Ago13</t>
  </si>
  <si>
    <t>Jul13</t>
  </si>
  <si>
    <t>Jun13</t>
  </si>
  <si>
    <t>May13</t>
  </si>
  <si>
    <t>Abr13</t>
  </si>
  <si>
    <t>Mar13</t>
  </si>
  <si>
    <t>Feb13</t>
  </si>
  <si>
    <t>Ene13</t>
  </si>
  <si>
    <t>Dic12</t>
  </si>
  <si>
    <t>Nov12</t>
  </si>
  <si>
    <t>Oct12</t>
  </si>
  <si>
    <t>Sep12</t>
  </si>
  <si>
    <t>Ago12</t>
  </si>
  <si>
    <t>Jul12</t>
  </si>
  <si>
    <t>Jun12</t>
  </si>
  <si>
    <t>May12</t>
  </si>
  <si>
    <t>Abr12</t>
  </si>
  <si>
    <t>Mar12</t>
  </si>
  <si>
    <t>Feb12</t>
  </si>
  <si>
    <t>Ene12</t>
  </si>
  <si>
    <t>Dic11</t>
  </si>
  <si>
    <t>Nov11</t>
  </si>
  <si>
    <t>Oct11</t>
  </si>
  <si>
    <t>Sep11</t>
  </si>
  <si>
    <t>Ago11</t>
  </si>
  <si>
    <t>Jul11</t>
  </si>
  <si>
    <t>Jun11</t>
  </si>
  <si>
    <t>May11</t>
  </si>
  <si>
    <t>Abr11</t>
  </si>
  <si>
    <t>Mar11</t>
  </si>
  <si>
    <t>Feb11</t>
  </si>
  <si>
    <t>Ene11</t>
  </si>
  <si>
    <t>Dic10</t>
  </si>
  <si>
    <t>Nov10</t>
  </si>
  <si>
    <t>Oct10</t>
  </si>
  <si>
    <t>Sep10</t>
  </si>
  <si>
    <t>Ago10</t>
  </si>
  <si>
    <t>Jul10</t>
  </si>
  <si>
    <t>Jun10</t>
  </si>
  <si>
    <t>May10</t>
  </si>
  <si>
    <t>Abr10</t>
  </si>
  <si>
    <t>Mar10</t>
  </si>
  <si>
    <t>Feb10</t>
  </si>
  <si>
    <t>Ene10</t>
  </si>
  <si>
    <t>Tasas de interés del Banco Central de Reserva - Tasa de Referencia de la Política Monetaria</t>
  </si>
  <si>
    <t>PD04722MM</t>
  </si>
  <si>
    <t>Tasas de interés del Banco Central de Reserva - Tasa de Encaje</t>
  </si>
  <si>
    <t>PN00493MM</t>
  </si>
  <si>
    <t>Emisión primaria y multiplicador (millones S/) - Circulante</t>
  </si>
  <si>
    <t>PN00480MM</t>
  </si>
  <si>
    <t>Liquidez del sistema financiero (fin de periodo) - Dinero (millones S/)</t>
  </si>
  <si>
    <t>PN00199MM</t>
  </si>
  <si>
    <t>Crédito de las empresas bancarias al sector privado en MN - fin de periodo (millones S/) - Crédito al Sector Privado</t>
  </si>
  <si>
    <t>PN00552MM</t>
  </si>
  <si>
    <t>Credito SP</t>
  </si>
  <si>
    <t>EP</t>
  </si>
  <si>
    <t>TE</t>
  </si>
  <si>
    <t>https://estadisticas.bcrp.gob.pe/estadisticas/series/mensuales/resultados/PN00199MM</t>
  </si>
  <si>
    <t>https://estadisticas.bcrp.gob.pe/estadisticas/series/mensuales/resultados/PN00217MM/html</t>
  </si>
  <si>
    <t>Ahorro del sistema financiero - Depósitos MN (millones S/)</t>
  </si>
  <si>
    <t>PN00217MM</t>
  </si>
  <si>
    <t>https://estadisticas.bcrp.gob.pe/estadisticas/series/mensuales/resultados/PN01063MM/html</t>
  </si>
  <si>
    <t>Bonos (millones S/) - Sector Privado</t>
  </si>
  <si>
    <t>PN01063MM</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</si>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</sst>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 #,##0.00_ ;_ * \-#,##0.00_ ;_ * &quot;-&quot;??_ ;_ @_ "/>
    <numFmt numFmtId="165" formatCode="_ * #,##0_ ;_ * \-#,##0_ ;_ * &quot;-&quot;??_ ;_ @_ "/>
    <numFmt numFmtId="166" formatCode="_-* #,##0_-;\-* #,##0_-;_-* &quot;-&quot;??_-;_-@_-"/>
  </numFmts>
  <fonts count="8"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11"/>
      <color rgb="FF000000"/>
      <name val="Calibri"/>
      <family val="2"/>
    </font>
    <font>
      <sz val="11"/>
      <color rgb="FF000000"/>
      <name val="Calibri"/>
      <family val="2"/>
    </font>
    <font>
      <u/>
      <sz val="11"/>
      <color theme="10"/>
      <name val="Calibri"/>
      <family val="2"/>
    </font>
    <font>
      <sz val="8"/>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0" borderId="0"/>
    <xf numFmtId="0" fontId="5" fillId="0" borderId="0"/>
    <xf numFmtId="43" fontId="4" fillId="0" borderId="0" applyFont="0" applyFill="0" applyBorder="0" applyAlignment="0" applyProtection="0"/>
    <xf numFmtId="0" fontId="6" fillId="0" borderId="0" applyNumberFormat="0" applyFill="0" applyBorder="0" applyAlignment="0" applyProtection="0"/>
  </cellStyleXfs>
  <cellXfs count="20">
    <xf numFmtId="0" fontId="0" fillId="0" borderId="0" xfId="0"/>
    <xf numFmtId="0" fontId="0" fillId="0" borderId="0" xfId="0" applyAlignment="1">
      <alignment horizontal="center"/>
    </xf>
    <xf numFmtId="49" fontId="0" fillId="0" borderId="0" xfId="0" applyNumberFormat="1"/>
    <xf numFmtId="0" fontId="4" fillId="0" borderId="0" xfId="3"/>
    <xf numFmtId="165" fontId="4" fillId="0" borderId="0" xfId="1" applyNumberFormat="1" applyFont="1"/>
    <xf numFmtId="0" fontId="4" fillId="2" borderId="0" xfId="3" applyFill="1"/>
    <xf numFmtId="165" fontId="0" fillId="0" borderId="0" xfId="1" applyNumberFormat="1" applyFont="1"/>
    <xf numFmtId="165" fontId="0" fillId="0" borderId="0" xfId="1" applyNumberFormat="1" applyFont="1" applyAlignment="1">
      <alignment horizontal="center"/>
    </xf>
    <xf numFmtId="0" fontId="5" fillId="0" borderId="0" xfId="4"/>
    <xf numFmtId="0" fontId="5" fillId="2" borderId="0" xfId="4" applyFill="1"/>
    <xf numFmtId="10" fontId="0" fillId="0" borderId="0" xfId="2" applyNumberFormat="1" applyFont="1"/>
    <xf numFmtId="0" fontId="4" fillId="3" borderId="0" xfId="3" applyFill="1"/>
    <xf numFmtId="165" fontId="4" fillId="3" borderId="0" xfId="1" applyNumberFormat="1" applyFont="1" applyFill="1"/>
    <xf numFmtId="165" fontId="4" fillId="0" borderId="0" xfId="1" applyNumberFormat="1" applyFont="1" applyFill="1"/>
    <xf numFmtId="0" fontId="4" fillId="4" borderId="0" xfId="3" applyFill="1"/>
    <xf numFmtId="3" fontId="0" fillId="0" borderId="0" xfId="0" applyNumberFormat="1"/>
    <xf numFmtId="166" fontId="0" fillId="0" borderId="0" xfId="5" applyNumberFormat="1" applyFont="1"/>
    <xf numFmtId="166" fontId="4" fillId="0" borderId="0" xfId="3" applyNumberFormat="1"/>
    <xf numFmtId="0" fontId="6" fillId="0" borderId="0" xfId="6"/>
    <xf numFmtId="0" fontId="0" fillId="0" borderId="0" xfId="0" applyAlignment="1">
      <alignment horizontal="center"/>
    </xf>
  </cellXfs>
  <cellStyles count="7">
    <cellStyle name="Hipervínculo" xfId="6" builtinId="8"/>
    <cellStyle name="Millares" xfId="1" builtinId="3"/>
    <cellStyle name="Millares 2" xfId="5" xr:uid="{F2AB7F78-7E5F-4DFE-A8AA-8B66EE0D2C3A}"/>
    <cellStyle name="Normal" xfId="0" builtinId="0"/>
    <cellStyle name="Normal 2" xfId="3" xr:uid="{55A3D50A-E1CB-45D4-B60A-CD81AE26B40D}"/>
    <cellStyle name="Normal 3" xfId="4" xr:uid="{38571222-3BC4-4C50-A59B-7417CC54B855}"/>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'bd-tri'!$B$1</c:f>
              <c:strCache>
                <c:ptCount val="1"/>
                <c:pt idx="0">
                  <c:v> PBI </c:v>
                </c:pt>
              </c:strCache>
            </c:strRef>
          </c:tx>
          <c:spPr>
            <a:ln w="28575" cap="rnd">
              <a:solidFill>
                <a:schemeClr val="accent1"/>
              </a:solidFill>
              <a:round/>
            </a:ln>
            <a:effectLst/>
          </c:spPr>
          <c:marker>
            <c:symbol val="none"/>
          </c:marker>
          <c:cat>
            <c:strRef>
              <c:f>'bd-tri'!$A$2:$A$37</c:f>
              <c:strCache>
                <c:ptCount val="36"/>
                <c:pt idx="0">
                  <c:v>2016Q1</c:v>
                </c:pt>
                <c:pt idx="1">
                  <c:v>2016Q2</c:v>
                </c:pt>
                <c:pt idx="2">
                  <c:v>2016Q3</c:v>
                </c:pt>
                <c:pt idx="3">
                  <c:v>2016Q4</c:v>
                </c:pt>
                <c:pt idx="4">
                  <c:v>2017Q1</c:v>
                </c:pt>
                <c:pt idx="5">
                  <c:v>2017Q2</c:v>
                </c:pt>
                <c:pt idx="6">
                  <c:v>2017Q3</c:v>
                </c:pt>
                <c:pt idx="7">
                  <c:v>2017Q4</c:v>
                </c:pt>
                <c:pt idx="8">
                  <c:v>2018Q1</c:v>
                </c:pt>
                <c:pt idx="9">
                  <c:v>2018Q2</c:v>
                </c:pt>
                <c:pt idx="10">
                  <c:v>2018Q3</c:v>
                </c:pt>
                <c:pt idx="11">
                  <c:v>2018Q4</c:v>
                </c:pt>
                <c:pt idx="12">
                  <c:v>2019Q1</c:v>
                </c:pt>
                <c:pt idx="13">
                  <c:v>2019Q2</c:v>
                </c:pt>
                <c:pt idx="14">
                  <c:v>2019Q3</c:v>
                </c:pt>
                <c:pt idx="15">
                  <c:v>2019Q4</c:v>
                </c:pt>
                <c:pt idx="16">
                  <c:v>2020Q1</c:v>
                </c:pt>
                <c:pt idx="17">
                  <c:v>2020Q2</c:v>
                </c:pt>
                <c:pt idx="18">
                  <c:v>2020Q3</c:v>
                </c:pt>
                <c:pt idx="19">
                  <c:v>2020Q4</c:v>
                </c:pt>
                <c:pt idx="20">
                  <c:v>2021Q1</c:v>
                </c:pt>
                <c:pt idx="21">
                  <c:v>2021Q2</c:v>
                </c:pt>
                <c:pt idx="22">
                  <c:v>2021Q3</c:v>
                </c:pt>
                <c:pt idx="23">
                  <c:v>2021Q4</c:v>
                </c:pt>
                <c:pt idx="24">
                  <c:v>2022Q1</c:v>
                </c:pt>
                <c:pt idx="25">
                  <c:v>2022Q2</c:v>
                </c:pt>
                <c:pt idx="26">
                  <c:v>2022Q3</c:v>
                </c:pt>
                <c:pt idx="27">
                  <c:v>2022Q4</c:v>
                </c:pt>
                <c:pt idx="28">
                  <c:v>2023Q1</c:v>
                </c:pt>
                <c:pt idx="29">
                  <c:v>2023Q2</c:v>
                </c:pt>
                <c:pt idx="30">
                  <c:v>2023Q3</c:v>
                </c:pt>
                <c:pt idx="31">
                  <c:v>2023Q4</c:v>
                </c:pt>
                <c:pt idx="32">
                  <c:v>2024Q1</c:v>
                </c:pt>
                <c:pt idx="33">
                  <c:v>2024Q2</c:v>
                </c:pt>
                <c:pt idx="34">
                  <c:v>2024Q3</c:v>
                </c:pt>
                <c:pt idx="35">
                  <c:v>2024Q4</c:v>
                </c:pt>
              </c:strCache>
            </c:strRef>
          </c:cat>
          <c:val>
            <c:numRef>
              <c:f>'bd-tri'!$B$2:$B$37</c:f>
              <c:numCache>
                <c:formatCode>_ * #,##0_ ;_ * \-#,##0_ ;_ * "-"??_ ;_ @_ </c:formatCode>
                <c:ptCount val="36"/>
                <c:pt idx="0">
                  <c:v>118217.24559821399</c:v>
                </c:pt>
                <c:pt idx="1">
                  <c:v>125207.210340167</c:v>
                </c:pt>
                <c:pt idx="2">
                  <c:v>126666.49622835001</c:v>
                </c:pt>
                <c:pt idx="3">
                  <c:v>131480.70798639799</c:v>
                </c:pt>
                <c:pt idx="4">
                  <c:v>120917.358472768</c:v>
                </c:pt>
                <c:pt idx="5">
                  <c:v>128522.91161441299</c:v>
                </c:pt>
                <c:pt idx="6">
                  <c:v>130231.55172207901</c:v>
                </c:pt>
                <c:pt idx="7">
                  <c:v>134533.27709485599</c:v>
                </c:pt>
                <c:pt idx="8">
                  <c:v>124747.10682904</c:v>
                </c:pt>
                <c:pt idx="9">
                  <c:v>135716.38025113</c:v>
                </c:pt>
                <c:pt idx="10">
                  <c:v>133407.82504362401</c:v>
                </c:pt>
                <c:pt idx="11">
                  <c:v>140744.50333539501</c:v>
                </c:pt>
                <c:pt idx="12">
                  <c:v>127738.76847079401</c:v>
                </c:pt>
                <c:pt idx="13">
                  <c:v>137275.801035293</c:v>
                </c:pt>
                <c:pt idx="14">
                  <c:v>137929.707859591</c:v>
                </c:pt>
                <c:pt idx="15">
                  <c:v>143649.17681700599</c:v>
                </c:pt>
                <c:pt idx="16">
                  <c:v>123183.486627733</c:v>
                </c:pt>
                <c:pt idx="17">
                  <c:v>96028.496828261894</c:v>
                </c:pt>
                <c:pt idx="18">
                  <c:v>125946.366206192</c:v>
                </c:pt>
                <c:pt idx="19">
                  <c:v>141650.803661524</c:v>
                </c:pt>
                <c:pt idx="20">
                  <c:v>128358.638336718</c:v>
                </c:pt>
                <c:pt idx="21">
                  <c:v>136392.89377273299</c:v>
                </c:pt>
                <c:pt idx="22">
                  <c:v>140657.11359792101</c:v>
                </c:pt>
                <c:pt idx="23">
                  <c:v>146471.50810771901</c:v>
                </c:pt>
                <c:pt idx="24">
                  <c:v>133345.788783514</c:v>
                </c:pt>
                <c:pt idx="25">
                  <c:v>141036.723254107</c:v>
                </c:pt>
                <c:pt idx="26">
                  <c:v>143542.80216168999</c:v>
                </c:pt>
                <c:pt idx="27">
                  <c:v>149462.87166954999</c:v>
                </c:pt>
                <c:pt idx="28">
                  <c:v>133199.101081865</c:v>
                </c:pt>
                <c:pt idx="29">
                  <c:v>140427.20612333901</c:v>
                </c:pt>
                <c:pt idx="30">
                  <c:v>142597.47099672799</c:v>
                </c:pt>
                <c:pt idx="31">
                  <c:v>148877.412001905</c:v>
                </c:pt>
                <c:pt idx="32">
                  <c:v>135026.24537566199</c:v>
                </c:pt>
                <c:pt idx="33">
                  <c:v>145497.92528920801</c:v>
                </c:pt>
                <c:pt idx="34">
                  <c:v>148092.023399903</c:v>
                </c:pt>
                <c:pt idx="35">
                  <c:v>155150.116522667</c:v>
                </c:pt>
              </c:numCache>
            </c:numRef>
          </c:val>
          <c:smooth val="0"/>
          <c:extLst>
            <c:ext xmlns:c16="http://schemas.microsoft.com/office/drawing/2014/chart" uri="{C3380CC4-5D6E-409C-BE32-E72D297353CC}">
              <c16:uniqueId val="{00000000-472B-456A-BC1A-E3434E7351D2}"/>
            </c:ext>
          </c:extLst>
        </c:ser>
        <c:dLbls>
          <c:showLegendKey val="0"/>
          <c:showVal val="0"/>
          <c:showCatName val="0"/>
          <c:showSerName val="0"/>
          <c:showPercent val="0"/>
          <c:showBubbleSize val="0"/>
        </c:dLbls>
        <c:smooth val="0"/>
        <c:axId val="1993330719"/>
        <c:axId val="1993331199"/>
      </c:lineChart>
      <c:catAx>
        <c:axId val="199333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93331199"/>
        <c:crosses val="autoZero"/>
        <c:auto val="1"/>
        <c:lblAlgn val="ctr"/>
        <c:lblOffset val="100"/>
        <c:noMultiLvlLbl val="0"/>
      </c:catAx>
      <c:valAx>
        <c:axId val="199333119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9333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PBI!$B$2</c:f>
              <c:strCache>
                <c:ptCount val="1"/>
                <c:pt idx="0">
                  <c:v>Producto bruto interno por tipo de gasto (millones S/ 2007) - PBI</c:v>
                </c:pt>
              </c:strCache>
            </c:strRef>
          </c:tx>
          <c:spPr>
            <a:ln w="28575" cap="rnd">
              <a:solidFill>
                <a:schemeClr val="accent1"/>
              </a:solidFill>
              <a:round/>
            </a:ln>
            <a:effectLst/>
          </c:spPr>
          <c:marker>
            <c:symbol val="none"/>
          </c:marker>
          <c:cat>
            <c:strRef>
              <c:f>PBI!$A$3:$A$62</c:f>
              <c:strCache>
                <c:ptCount val="60"/>
                <c:pt idx="0">
                  <c:v>T110</c:v>
                </c:pt>
                <c:pt idx="1">
                  <c:v>T210</c:v>
                </c:pt>
                <c:pt idx="2">
                  <c:v>T310</c:v>
                </c:pt>
                <c:pt idx="3">
                  <c:v>T410</c:v>
                </c:pt>
                <c:pt idx="4">
                  <c:v>T111</c:v>
                </c:pt>
                <c:pt idx="5">
                  <c:v>T211</c:v>
                </c:pt>
                <c:pt idx="6">
                  <c:v>T311</c:v>
                </c:pt>
                <c:pt idx="7">
                  <c:v>T411</c:v>
                </c:pt>
                <c:pt idx="8">
                  <c:v>T112</c:v>
                </c:pt>
                <c:pt idx="9">
                  <c:v>T212</c:v>
                </c:pt>
                <c:pt idx="10">
                  <c:v>T312</c:v>
                </c:pt>
                <c:pt idx="11">
                  <c:v>T412</c:v>
                </c:pt>
                <c:pt idx="12">
                  <c:v>T113</c:v>
                </c:pt>
                <c:pt idx="13">
                  <c:v>T213</c:v>
                </c:pt>
                <c:pt idx="14">
                  <c:v>T313</c:v>
                </c:pt>
                <c:pt idx="15">
                  <c:v>T413</c:v>
                </c:pt>
                <c:pt idx="16">
                  <c:v>T114</c:v>
                </c:pt>
                <c:pt idx="17">
                  <c:v>T214</c:v>
                </c:pt>
                <c:pt idx="18">
                  <c:v>T314</c:v>
                </c:pt>
                <c:pt idx="19">
                  <c:v>T414</c:v>
                </c:pt>
                <c:pt idx="20">
                  <c:v>T115</c:v>
                </c:pt>
                <c:pt idx="21">
                  <c:v>T215</c:v>
                </c:pt>
                <c:pt idx="22">
                  <c:v>T315</c:v>
                </c:pt>
                <c:pt idx="23">
                  <c:v>T415</c:v>
                </c:pt>
                <c:pt idx="24">
                  <c:v>T116</c:v>
                </c:pt>
                <c:pt idx="25">
                  <c:v>T216</c:v>
                </c:pt>
                <c:pt idx="26">
                  <c:v>T316</c:v>
                </c:pt>
                <c:pt idx="27">
                  <c:v>T416</c:v>
                </c:pt>
                <c:pt idx="28">
                  <c:v>T117</c:v>
                </c:pt>
                <c:pt idx="29">
                  <c:v>T217</c:v>
                </c:pt>
                <c:pt idx="30">
                  <c:v>T317</c:v>
                </c:pt>
                <c:pt idx="31">
                  <c:v>T417</c:v>
                </c:pt>
                <c:pt idx="32">
                  <c:v>T118</c:v>
                </c:pt>
                <c:pt idx="33">
                  <c:v>T218</c:v>
                </c:pt>
                <c:pt idx="34">
                  <c:v>T318</c:v>
                </c:pt>
                <c:pt idx="35">
                  <c:v>T418</c:v>
                </c:pt>
                <c:pt idx="36">
                  <c:v>T119</c:v>
                </c:pt>
                <c:pt idx="37">
                  <c:v>T219</c:v>
                </c:pt>
                <c:pt idx="38">
                  <c:v>T319</c:v>
                </c:pt>
                <c:pt idx="39">
                  <c:v>T419</c:v>
                </c:pt>
                <c:pt idx="40">
                  <c:v>T120</c:v>
                </c:pt>
                <c:pt idx="41">
                  <c:v>T220</c:v>
                </c:pt>
                <c:pt idx="42">
                  <c:v>T320</c:v>
                </c:pt>
                <c:pt idx="43">
                  <c:v>T420</c:v>
                </c:pt>
                <c:pt idx="44">
                  <c:v>T121</c:v>
                </c:pt>
                <c:pt idx="45">
                  <c:v>T221</c:v>
                </c:pt>
                <c:pt idx="46">
                  <c:v>T321</c:v>
                </c:pt>
                <c:pt idx="47">
                  <c:v>T421</c:v>
                </c:pt>
                <c:pt idx="48">
                  <c:v>T122</c:v>
                </c:pt>
                <c:pt idx="49">
                  <c:v>T222</c:v>
                </c:pt>
                <c:pt idx="50">
                  <c:v>T322</c:v>
                </c:pt>
                <c:pt idx="51">
                  <c:v>T422</c:v>
                </c:pt>
                <c:pt idx="52">
                  <c:v>T123</c:v>
                </c:pt>
                <c:pt idx="53">
                  <c:v>T223</c:v>
                </c:pt>
                <c:pt idx="54">
                  <c:v>T323</c:v>
                </c:pt>
                <c:pt idx="55">
                  <c:v>T423</c:v>
                </c:pt>
                <c:pt idx="56">
                  <c:v>T124</c:v>
                </c:pt>
                <c:pt idx="57">
                  <c:v>T224</c:v>
                </c:pt>
                <c:pt idx="58">
                  <c:v>T324</c:v>
                </c:pt>
                <c:pt idx="59">
                  <c:v>T424</c:v>
                </c:pt>
              </c:strCache>
            </c:strRef>
          </c:cat>
          <c:val>
            <c:numRef>
              <c:f>PBI!$B$3:$B$62</c:f>
              <c:numCache>
                <c:formatCode>General</c:formatCode>
                <c:ptCount val="60"/>
                <c:pt idx="0">
                  <c:v>87578.688233024805</c:v>
                </c:pt>
                <c:pt idx="1">
                  <c:v>96843.879274328094</c:v>
                </c:pt>
                <c:pt idx="2">
                  <c:v>96741.944733926503</c:v>
                </c:pt>
                <c:pt idx="3">
                  <c:v>100904.520300736</c:v>
                </c:pt>
                <c:pt idx="4">
                  <c:v>94947.563581722905</c:v>
                </c:pt>
                <c:pt idx="5">
                  <c:v>101962.283589158</c:v>
                </c:pt>
                <c:pt idx="6">
                  <c:v>102364.289862155</c:v>
                </c:pt>
                <c:pt idx="7">
                  <c:v>106972.6143023</c:v>
                </c:pt>
                <c:pt idx="8">
                  <c:v>100749.44414052401</c:v>
                </c:pt>
                <c:pt idx="9">
                  <c:v>107971.584497394</c:v>
                </c:pt>
                <c:pt idx="10">
                  <c:v>109550.82835097901</c:v>
                </c:pt>
                <c:pt idx="11">
                  <c:v>112917.58164687001</c:v>
                </c:pt>
                <c:pt idx="12">
                  <c:v>105765.24098878101</c:v>
                </c:pt>
                <c:pt idx="13">
                  <c:v>114735.405040294</c:v>
                </c:pt>
                <c:pt idx="14">
                  <c:v>115276.72312001001</c:v>
                </c:pt>
                <c:pt idx="15">
                  <c:v>120645.674099474</c:v>
                </c:pt>
                <c:pt idx="16">
                  <c:v>111006.15700438101</c:v>
                </c:pt>
                <c:pt idx="17">
                  <c:v>116983.334304624</c:v>
                </c:pt>
                <c:pt idx="18">
                  <c:v>117378.26423999001</c:v>
                </c:pt>
                <c:pt idx="19">
                  <c:v>121935.18421714701</c:v>
                </c:pt>
                <c:pt idx="20">
                  <c:v>113149.4203712</c:v>
                </c:pt>
                <c:pt idx="21">
                  <c:v>120698.861748585</c:v>
                </c:pt>
                <c:pt idx="22">
                  <c:v>121082.48595032599</c:v>
                </c:pt>
                <c:pt idx="23">
                  <c:v>127564.615886732</c:v>
                </c:pt>
                <c:pt idx="24">
                  <c:v>118217.24559821399</c:v>
                </c:pt>
                <c:pt idx="25">
                  <c:v>125207.210340167</c:v>
                </c:pt>
                <c:pt idx="26">
                  <c:v>126666.49622835001</c:v>
                </c:pt>
                <c:pt idx="27">
                  <c:v>131480.70798639799</c:v>
                </c:pt>
                <c:pt idx="28">
                  <c:v>120917.358472768</c:v>
                </c:pt>
                <c:pt idx="29">
                  <c:v>128522.91161441299</c:v>
                </c:pt>
                <c:pt idx="30">
                  <c:v>130231.55172207901</c:v>
                </c:pt>
                <c:pt idx="31">
                  <c:v>134533.27709485599</c:v>
                </c:pt>
                <c:pt idx="32">
                  <c:v>124747.10682904</c:v>
                </c:pt>
                <c:pt idx="33">
                  <c:v>135716.38025113</c:v>
                </c:pt>
                <c:pt idx="34">
                  <c:v>133407.82504362401</c:v>
                </c:pt>
                <c:pt idx="35">
                  <c:v>140744.50333539501</c:v>
                </c:pt>
                <c:pt idx="36">
                  <c:v>127738.76847079401</c:v>
                </c:pt>
                <c:pt idx="37">
                  <c:v>137275.801035293</c:v>
                </c:pt>
                <c:pt idx="38">
                  <c:v>137929.707859591</c:v>
                </c:pt>
                <c:pt idx="39">
                  <c:v>143649.17681700599</c:v>
                </c:pt>
                <c:pt idx="40">
                  <c:v>123183.486627733</c:v>
                </c:pt>
                <c:pt idx="41">
                  <c:v>96028.496828261894</c:v>
                </c:pt>
                <c:pt idx="42">
                  <c:v>125946.366206192</c:v>
                </c:pt>
                <c:pt idx="43">
                  <c:v>141650.803661524</c:v>
                </c:pt>
                <c:pt idx="44">
                  <c:v>128358.638336718</c:v>
                </c:pt>
                <c:pt idx="45">
                  <c:v>136392.89377273299</c:v>
                </c:pt>
                <c:pt idx="46">
                  <c:v>140657.11359792101</c:v>
                </c:pt>
                <c:pt idx="47">
                  <c:v>146471.50810771901</c:v>
                </c:pt>
                <c:pt idx="48">
                  <c:v>133345.788783514</c:v>
                </c:pt>
                <c:pt idx="49">
                  <c:v>141036.723254107</c:v>
                </c:pt>
                <c:pt idx="50">
                  <c:v>143542.80216168999</c:v>
                </c:pt>
                <c:pt idx="51">
                  <c:v>149462.87166954999</c:v>
                </c:pt>
                <c:pt idx="52">
                  <c:v>133199.101081865</c:v>
                </c:pt>
                <c:pt idx="53">
                  <c:v>140427.20612333901</c:v>
                </c:pt>
                <c:pt idx="54">
                  <c:v>142597.47099672799</c:v>
                </c:pt>
                <c:pt idx="55">
                  <c:v>148877.412001905</c:v>
                </c:pt>
                <c:pt idx="56">
                  <c:v>135026.24537566199</c:v>
                </c:pt>
                <c:pt idx="57">
                  <c:v>145497.92528920801</c:v>
                </c:pt>
                <c:pt idx="58">
                  <c:v>148092.023399903</c:v>
                </c:pt>
                <c:pt idx="59">
                  <c:v>155150.116522667</c:v>
                </c:pt>
              </c:numCache>
            </c:numRef>
          </c:val>
          <c:smooth val="0"/>
          <c:extLst>
            <c:ext xmlns:c16="http://schemas.microsoft.com/office/drawing/2014/chart" uri="{C3380CC4-5D6E-409C-BE32-E72D297353CC}">
              <c16:uniqueId val="{00000000-A4BA-4F0E-8EA6-490F11B6D346}"/>
            </c:ext>
          </c:extLst>
        </c:ser>
        <c:dLbls>
          <c:showLegendKey val="0"/>
          <c:showVal val="0"/>
          <c:showCatName val="0"/>
          <c:showSerName val="0"/>
          <c:showPercent val="0"/>
          <c:showBubbleSize val="0"/>
        </c:dLbls>
        <c:smooth val="0"/>
        <c:axId val="787406128"/>
        <c:axId val="787418128"/>
      </c:lineChart>
      <c:catAx>
        <c:axId val="7874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87418128"/>
        <c:crosses val="autoZero"/>
        <c:auto val="1"/>
        <c:lblAlgn val="ctr"/>
        <c:lblOffset val="100"/>
        <c:noMultiLvlLbl val="0"/>
      </c:catAx>
      <c:valAx>
        <c:axId val="78741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874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476250</xdr:colOff>
      <xdr:row>7</xdr:row>
      <xdr:rowOff>57150</xdr:rowOff>
    </xdr:from>
    <xdr:to>
      <xdr:col>12</xdr:col>
      <xdr:colOff>476250</xdr:colOff>
      <xdr:row>21</xdr:row>
      <xdr:rowOff>133350</xdr:rowOff>
    </xdr:to>
    <xdr:graphicFrame macro="">
      <xdr:nvGraphicFramePr>
        <xdr:cNvPr id="3" name="Gráfico 2">
          <a:extLst>
            <a:ext uri="{FF2B5EF4-FFF2-40B4-BE49-F238E27FC236}">
              <a16:creationId xmlns:a16="http://schemas.microsoft.com/office/drawing/2014/main" id="{182525A9-B7DB-252C-2A51-99E2627BA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80009</xdr:colOff>
      <xdr:row>66</xdr:row>
      <xdr:rowOff>144779</xdr:rowOff>
    </xdr:from>
    <xdr:to>
      <xdr:col>10</xdr:col>
      <xdr:colOff>154304</xdr:colOff>
      <xdr:row>89</xdr:row>
      <xdr:rowOff>5714</xdr:rowOff>
    </xdr:to>
    <xdr:graphicFrame macro="">
      <xdr:nvGraphicFramePr>
        <xdr:cNvPr id="2" name="Gráfico 1">
          <a:extLst>
            <a:ext uri="{FF2B5EF4-FFF2-40B4-BE49-F238E27FC236}">
              <a16:creationId xmlns:a16="http://schemas.microsoft.com/office/drawing/2014/main" id="{11DE60C2-FE6E-17D1-CE09-AD097CD9C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hyperlink" Target="https://estadisticas.bcrp.gob.pe/estadisticas/series/mensuales/resultados/PN00199M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stadisticas.bcrp.gob.pe/estadisticas/series/mensuales/resultados/PN00217MM/htm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estadisticas.bcrp.gob.pe/estadisticas/series/mensuales/resultados/PN01063MM/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989A5-D54E-4234-A725-1B3BEDE183C2}">
  <dimension ref="A1:D16"/>
  <sheetViews>
    <sheetView workbookViewId="0">
      <selection activeCell="D31" sqref="D31"/>
    </sheetView>
  </sheetViews>
  <sheetFormatPr baseColWidth="10" defaultRowHeight="15" x14ac:dyDescent="0.25"/>
  <cols>
    <col min="2" max="2" width="14.5703125" bestFit="1" customWidth="1"/>
    <col min="4" max="4" width="18.140625" style="1" customWidth="1"/>
    <col min="6" max="6" width="12.5703125" bestFit="1" customWidth="1"/>
  </cols>
  <sheetData>
    <row r="1" spans="1:4" x14ac:dyDescent="0.25">
      <c r="A1" t="s">
        <v>6</v>
      </c>
      <c r="B1" t="s">
        <v>1</v>
      </c>
      <c r="C1" s="1" t="s">
        <v>0</v>
      </c>
      <c r="D1" s="1" t="s">
        <v>69</v>
      </c>
    </row>
    <row r="2" spans="1:4" x14ac:dyDescent="0.25">
      <c r="A2" s="2">
        <v>2010</v>
      </c>
      <c r="B2" s="6">
        <v>95517.258135503856</v>
      </c>
      <c r="C2" s="10">
        <v>0.03</v>
      </c>
      <c r="D2" s="7">
        <v>55063.608693000002</v>
      </c>
    </row>
    <row r="3" spans="1:4" x14ac:dyDescent="0.25">
      <c r="A3" s="2">
        <v>2011</v>
      </c>
      <c r="B3" s="6">
        <v>101561.68783383397</v>
      </c>
      <c r="C3" s="10">
        <v>4.2500000000000003E-2</v>
      </c>
      <c r="D3" s="7">
        <v>52486.546950999997</v>
      </c>
    </row>
    <row r="4" spans="1:4" x14ac:dyDescent="0.25">
      <c r="A4" s="2">
        <v>2012</v>
      </c>
      <c r="B4" s="6">
        <v>107797.35965894176</v>
      </c>
      <c r="C4" s="10">
        <v>4.2500000000000003E-2</v>
      </c>
      <c r="D4" s="7">
        <v>59087.733447999999</v>
      </c>
    </row>
    <row r="5" spans="1:4" x14ac:dyDescent="0.25">
      <c r="A5" s="2">
        <v>2013</v>
      </c>
      <c r="B5" s="6">
        <v>114105.76081213975</v>
      </c>
      <c r="C5" s="10">
        <v>0.04</v>
      </c>
      <c r="D5" s="7">
        <v>58987.302409000004</v>
      </c>
    </row>
    <row r="6" spans="1:4" x14ac:dyDescent="0.25">
      <c r="A6" s="2">
        <v>2014</v>
      </c>
      <c r="B6" s="6">
        <v>116825.7349415355</v>
      </c>
      <c r="C6" s="10">
        <v>3.5000000000000003E-2</v>
      </c>
      <c r="D6" s="7">
        <v>66545.753985999996</v>
      </c>
    </row>
    <row r="7" spans="1:4" x14ac:dyDescent="0.25">
      <c r="A7" s="2">
        <v>2015</v>
      </c>
      <c r="B7" s="6">
        <v>120623.84598921075</v>
      </c>
      <c r="C7" s="10">
        <v>3.7499999999999999E-2</v>
      </c>
      <c r="D7" s="7">
        <v>80708.282464999997</v>
      </c>
    </row>
    <row r="8" spans="1:4" x14ac:dyDescent="0.25">
      <c r="A8" s="2">
        <v>2016</v>
      </c>
      <c r="B8" s="6">
        <v>125392.91503828226</v>
      </c>
      <c r="C8" s="10">
        <v>4.2500000000000003E-2</v>
      </c>
      <c r="D8" s="7">
        <v>87987.718737999996</v>
      </c>
    </row>
    <row r="9" spans="1:4" x14ac:dyDescent="0.25">
      <c r="A9" s="2">
        <v>2017</v>
      </c>
      <c r="B9" s="6">
        <v>128551.27472602899</v>
      </c>
      <c r="C9" s="10">
        <v>3.2500000000000001E-2</v>
      </c>
      <c r="D9" s="7">
        <v>90240.224734999996</v>
      </c>
    </row>
    <row r="10" spans="1:4" x14ac:dyDescent="0.25">
      <c r="A10" s="2">
        <v>2018</v>
      </c>
      <c r="B10" s="6">
        <v>133653.95386479725</v>
      </c>
      <c r="C10" s="10">
        <v>2.75E-2</v>
      </c>
      <c r="D10" s="7">
        <v>92299.882532000003</v>
      </c>
    </row>
    <row r="11" spans="1:4" x14ac:dyDescent="0.25">
      <c r="A11" s="2">
        <v>2019</v>
      </c>
      <c r="B11" s="6">
        <v>136648.36354567099</v>
      </c>
      <c r="C11" s="10">
        <v>2.2499999999999999E-2</v>
      </c>
      <c r="D11" s="7">
        <v>91582.523270999998</v>
      </c>
    </row>
    <row r="12" spans="1:4" x14ac:dyDescent="0.25">
      <c r="A12" s="2">
        <v>2020</v>
      </c>
      <c r="B12" s="6">
        <v>121702.28833092772</v>
      </c>
      <c r="C12" s="10">
        <v>2.5000000000000001E-3</v>
      </c>
      <c r="D12" s="7">
        <v>103577.29620700001</v>
      </c>
    </row>
    <row r="13" spans="1:4" x14ac:dyDescent="0.25">
      <c r="A13" s="2">
        <v>2021</v>
      </c>
      <c r="B13" s="6">
        <v>137970.03845377275</v>
      </c>
      <c r="C13" s="10">
        <v>2.5000000000000001E-2</v>
      </c>
      <c r="D13" s="7">
        <v>136000.67530199999</v>
      </c>
    </row>
    <row r="14" spans="1:4" x14ac:dyDescent="0.25">
      <c r="A14" s="2">
        <v>2022</v>
      </c>
      <c r="B14" s="6">
        <v>141847.04646721523</v>
      </c>
      <c r="C14" s="10">
        <v>7.4999999999999997E-2</v>
      </c>
      <c r="D14" s="7">
        <v>124546.076915</v>
      </c>
    </row>
    <row r="15" spans="1:4" x14ac:dyDescent="0.25">
      <c r="A15" s="2">
        <v>2023</v>
      </c>
      <c r="B15" s="6">
        <v>141275.29755095925</v>
      </c>
      <c r="C15" s="10">
        <v>6.7500000000000004E-2</v>
      </c>
      <c r="D15" s="7">
        <v>106309.439897</v>
      </c>
    </row>
    <row r="16" spans="1:4" x14ac:dyDescent="0.25">
      <c r="A16" s="2">
        <v>2024</v>
      </c>
      <c r="B16" s="6">
        <v>145941.57764686001</v>
      </c>
      <c r="C16" s="10">
        <v>0.05</v>
      </c>
      <c r="D16" s="7">
        <v>112135.129036</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52DD-3D0B-48AD-9FE5-4D8EF10EC3E6}">
  <dimension ref="A1:M37"/>
  <sheetViews>
    <sheetView tabSelected="1" workbookViewId="0">
      <selection activeCell="G5" sqref="G5"/>
    </sheetView>
  </sheetViews>
  <sheetFormatPr baseColWidth="10" defaultRowHeight="15" x14ac:dyDescent="0.25"/>
  <cols>
    <col min="2" max="2" width="11.42578125" style="6"/>
    <col min="4" max="4" width="19" customWidth="1"/>
  </cols>
  <sheetData>
    <row r="1" spans="1:13" x14ac:dyDescent="0.25">
      <c r="A1" t="s">
        <v>6</v>
      </c>
      <c r="B1" s="6" t="s">
        <v>1</v>
      </c>
      <c r="C1" s="1" t="s">
        <v>0</v>
      </c>
      <c r="D1" s="1" t="s">
        <v>69</v>
      </c>
      <c r="E1" s="1" t="s">
        <v>262</v>
      </c>
      <c r="F1" s="1" t="s">
        <v>261</v>
      </c>
      <c r="G1" s="1"/>
      <c r="I1" s="6"/>
      <c r="J1" s="1"/>
      <c r="K1" s="1"/>
      <c r="L1" s="1"/>
      <c r="M1" s="1"/>
    </row>
    <row r="2" spans="1:13" x14ac:dyDescent="0.25">
      <c r="A2" t="s">
        <v>270</v>
      </c>
      <c r="B2" s="6">
        <v>118217.24559821399</v>
      </c>
      <c r="C2" s="10">
        <v>4.1666666666666671E-2</v>
      </c>
      <c r="D2" s="15">
        <v>46327.485112000002</v>
      </c>
      <c r="E2" s="10">
        <v>8.0219410374305036E-2</v>
      </c>
      <c r="F2" s="17">
        <v>216484.86720933334</v>
      </c>
      <c r="G2" s="17"/>
    </row>
    <row r="3" spans="1:13" x14ac:dyDescent="0.25">
      <c r="A3" t="s">
        <v>271</v>
      </c>
      <c r="B3" s="6">
        <v>125207.210340167</v>
      </c>
      <c r="C3" s="10">
        <v>4.2500000000000003E-2</v>
      </c>
      <c r="D3" s="15">
        <v>11603.146838000001</v>
      </c>
      <c r="E3" s="10">
        <v>8.00134794350498E-2</v>
      </c>
      <c r="F3" s="17">
        <v>216402.17288</v>
      </c>
      <c r="G3" s="17"/>
    </row>
    <row r="4" spans="1:13" x14ac:dyDescent="0.25">
      <c r="A4" t="s">
        <v>272</v>
      </c>
      <c r="B4" s="6">
        <v>126666.49622835001</v>
      </c>
      <c r="C4" s="10">
        <v>4.2500000000000003E-2</v>
      </c>
      <c r="D4" s="15">
        <v>13755.048976</v>
      </c>
      <c r="E4" s="10">
        <v>7.8160653904600433E-2</v>
      </c>
      <c r="F4" s="17">
        <v>226024.76821866666</v>
      </c>
      <c r="G4" s="17"/>
    </row>
    <row r="5" spans="1:13" x14ac:dyDescent="0.25">
      <c r="A5" t="s">
        <v>273</v>
      </c>
      <c r="B5" s="6">
        <v>131480.70798639799</v>
      </c>
      <c r="C5" s="10">
        <v>4.2500000000000003E-2</v>
      </c>
      <c r="D5" s="15">
        <v>16302.037812</v>
      </c>
      <c r="E5" s="10">
        <v>7.7080370820856739E-2</v>
      </c>
      <c r="F5" s="17">
        <v>231891.0471566667</v>
      </c>
      <c r="G5" s="17"/>
    </row>
    <row r="6" spans="1:13" x14ac:dyDescent="0.25">
      <c r="A6" t="s">
        <v>274</v>
      </c>
      <c r="B6" s="6">
        <v>120917.358472768</v>
      </c>
      <c r="C6" s="10">
        <v>4.2500000000000003E-2</v>
      </c>
      <c r="D6" s="15">
        <v>45712.598122000003</v>
      </c>
      <c r="E6" s="10">
        <v>7.442447628424563E-2</v>
      </c>
      <c r="F6" s="17">
        <v>265327.96847166668</v>
      </c>
      <c r="G6" s="17"/>
    </row>
    <row r="7" spans="1:13" x14ac:dyDescent="0.25">
      <c r="A7" t="s">
        <v>275</v>
      </c>
      <c r="B7" s="6">
        <v>128522.91161441299</v>
      </c>
      <c r="C7" s="10">
        <v>4.0833333333333333E-2</v>
      </c>
      <c r="D7" s="15">
        <v>15687.060321999999</v>
      </c>
      <c r="E7" s="10">
        <v>7.3324891335860565E-2</v>
      </c>
      <c r="F7" s="17">
        <v>269556.83215500001</v>
      </c>
      <c r="G7" s="17"/>
    </row>
    <row r="8" spans="1:13" x14ac:dyDescent="0.25">
      <c r="A8" t="s">
        <v>276</v>
      </c>
      <c r="B8" s="6">
        <v>130231.55172207901</v>
      </c>
      <c r="C8" s="10">
        <v>3.6666666666666667E-2</v>
      </c>
      <c r="D8" s="15">
        <v>15351.79226</v>
      </c>
      <c r="E8" s="10">
        <v>7.37619139585316E-2</v>
      </c>
      <c r="F8" s="17">
        <v>280735.53425266669</v>
      </c>
      <c r="G8" s="17"/>
    </row>
    <row r="9" spans="1:13" x14ac:dyDescent="0.25">
      <c r="A9" t="s">
        <v>277</v>
      </c>
      <c r="B9" s="6">
        <v>134533.27709485599</v>
      </c>
      <c r="C9" s="10">
        <v>3.3333333333333333E-2</v>
      </c>
      <c r="D9" s="15">
        <v>13488.774031999999</v>
      </c>
      <c r="E9" s="10">
        <v>7.3336479718434072E-2</v>
      </c>
      <c r="F9" s="17">
        <v>295732.869679</v>
      </c>
      <c r="G9" s="17"/>
    </row>
    <row r="10" spans="1:13" x14ac:dyDescent="0.25">
      <c r="A10" t="s">
        <v>278</v>
      </c>
      <c r="B10" s="6">
        <v>124747.10682904</v>
      </c>
      <c r="C10" s="10">
        <v>2.9166666666666664E-2</v>
      </c>
      <c r="D10" s="15">
        <v>46142.514625999996</v>
      </c>
      <c r="E10" s="10">
        <v>6.7525807731571769E-2</v>
      </c>
      <c r="F10" s="17">
        <v>307857.96233299997</v>
      </c>
      <c r="G10" s="17"/>
    </row>
    <row r="11" spans="1:13" x14ac:dyDescent="0.25">
      <c r="A11" t="s">
        <v>279</v>
      </c>
      <c r="B11" s="6">
        <v>135716.38025113</v>
      </c>
      <c r="C11" s="10">
        <v>2.75E-2</v>
      </c>
      <c r="D11" s="15">
        <v>12937.487993000001</v>
      </c>
      <c r="E11" s="10">
        <v>6.69662227730351E-2</v>
      </c>
      <c r="F11" s="17">
        <v>307490.96916833334</v>
      </c>
      <c r="G11" s="17"/>
    </row>
    <row r="12" spans="1:13" x14ac:dyDescent="0.25">
      <c r="A12" t="s">
        <v>280</v>
      </c>
      <c r="B12" s="6">
        <v>133407.82504362401</v>
      </c>
      <c r="C12" s="10">
        <v>2.75E-2</v>
      </c>
      <c r="D12" s="15">
        <v>15950.018075</v>
      </c>
      <c r="E12" s="10">
        <v>6.7157244082792569E-2</v>
      </c>
      <c r="F12" s="17">
        <v>318712.42094233329</v>
      </c>
      <c r="G12" s="17"/>
    </row>
    <row r="13" spans="1:13" x14ac:dyDescent="0.25">
      <c r="A13" t="s">
        <v>281</v>
      </c>
      <c r="B13" s="6">
        <v>140744.50333539501</v>
      </c>
      <c r="C13" s="10">
        <v>2.75E-2</v>
      </c>
      <c r="D13" s="15">
        <v>17269.861838000001</v>
      </c>
      <c r="E13" s="10">
        <v>6.9086052789304131E-2</v>
      </c>
      <c r="F13" s="17">
        <v>319560.93424600002</v>
      </c>
      <c r="G13" s="17"/>
    </row>
    <row r="14" spans="1:13" x14ac:dyDescent="0.25">
      <c r="A14" t="s">
        <v>282</v>
      </c>
      <c r="B14" s="6">
        <v>127738.76847079401</v>
      </c>
      <c r="C14" s="10">
        <v>2.75E-2</v>
      </c>
      <c r="D14" s="15">
        <v>42881.791770000003</v>
      </c>
      <c r="E14" s="10">
        <v>6.3110110153404259E-2</v>
      </c>
      <c r="F14" s="17">
        <v>298120.33</v>
      </c>
      <c r="G14" s="17"/>
    </row>
    <row r="15" spans="1:13" x14ac:dyDescent="0.25">
      <c r="A15" t="s">
        <v>283</v>
      </c>
      <c r="B15" s="6">
        <v>137275.801035293</v>
      </c>
      <c r="C15" s="10">
        <v>2.75E-2</v>
      </c>
      <c r="D15" s="15">
        <v>17035.714405999999</v>
      </c>
      <c r="E15" s="10">
        <v>6.7467023785090535E-2</v>
      </c>
      <c r="F15" s="17">
        <v>299968.27</v>
      </c>
      <c r="G15" s="17"/>
    </row>
    <row r="16" spans="1:13" x14ac:dyDescent="0.25">
      <c r="A16" t="s">
        <v>284</v>
      </c>
      <c r="B16" s="6">
        <v>137929.707859591</v>
      </c>
      <c r="C16" s="10">
        <v>2.5833333333333333E-2</v>
      </c>
      <c r="D16" s="15">
        <v>14752.207391</v>
      </c>
      <c r="E16" s="10">
        <v>6.3053331254759162E-2</v>
      </c>
      <c r="F16" s="17">
        <v>311621.12666666665</v>
      </c>
      <c r="G16" s="17"/>
    </row>
    <row r="17" spans="1:7" x14ac:dyDescent="0.25">
      <c r="A17" t="s">
        <v>285</v>
      </c>
      <c r="B17" s="6">
        <v>143649.17681700599</v>
      </c>
      <c r="C17" s="10">
        <v>2.3333333333333334E-2</v>
      </c>
      <c r="D17" s="15">
        <v>16912.809703999999</v>
      </c>
      <c r="E17" s="10">
        <v>6.4903392570060947E-2</v>
      </c>
      <c r="F17" s="17">
        <v>321903.55999999994</v>
      </c>
      <c r="G17" s="17"/>
    </row>
    <row r="18" spans="1:7" x14ac:dyDescent="0.25">
      <c r="A18" t="s">
        <v>286</v>
      </c>
      <c r="B18" s="6">
        <v>123183.486627733</v>
      </c>
      <c r="C18" s="10">
        <v>1.9166666666666669E-2</v>
      </c>
      <c r="D18" s="15">
        <v>41434.091352000003</v>
      </c>
      <c r="E18" s="10">
        <v>6.1701861912353738E-2</v>
      </c>
      <c r="F18" s="17">
        <v>337796.54999999993</v>
      </c>
      <c r="G18" s="17"/>
    </row>
    <row r="19" spans="1:7" x14ac:dyDescent="0.25">
      <c r="A19" t="s">
        <v>287</v>
      </c>
      <c r="B19" s="6">
        <v>96028.496828261894</v>
      </c>
      <c r="C19" s="10">
        <v>2.5000000000000001E-3</v>
      </c>
      <c r="D19" s="15">
        <v>17810.116970999999</v>
      </c>
      <c r="E19" s="10">
        <v>6.6409014560904908E-2</v>
      </c>
      <c r="F19" s="17">
        <v>388405.53333333333</v>
      </c>
      <c r="G19" s="17"/>
    </row>
    <row r="20" spans="1:7" x14ac:dyDescent="0.25">
      <c r="A20" t="s">
        <v>288</v>
      </c>
      <c r="B20" s="6">
        <v>125946.366206192</v>
      </c>
      <c r="C20" s="10">
        <v>2.5000000000000001E-3</v>
      </c>
      <c r="D20" s="15">
        <v>19191.073014000001</v>
      </c>
      <c r="E20" s="10">
        <v>5.614043289776436E-2</v>
      </c>
      <c r="F20" s="17">
        <v>432395.85666666669</v>
      </c>
      <c r="G20" s="17"/>
    </row>
    <row r="21" spans="1:7" x14ac:dyDescent="0.25">
      <c r="A21" t="s">
        <v>289</v>
      </c>
      <c r="B21" s="6">
        <v>141650.803661524</v>
      </c>
      <c r="C21" s="10">
        <v>2.5000000000000001E-3</v>
      </c>
      <c r="D21" s="15">
        <v>25142.014870999999</v>
      </c>
      <c r="E21" s="10">
        <v>5.3795597535680667E-2</v>
      </c>
      <c r="F21" s="17">
        <v>442945.18975919066</v>
      </c>
      <c r="G21" s="17"/>
    </row>
    <row r="22" spans="1:7" x14ac:dyDescent="0.25">
      <c r="A22" t="s">
        <v>290</v>
      </c>
      <c r="B22" s="6">
        <v>128358.638336718</v>
      </c>
      <c r="C22" s="10">
        <v>2.5000000000000001E-3</v>
      </c>
      <c r="D22" s="15">
        <v>48342.590676</v>
      </c>
      <c r="E22" s="10">
        <v>5.7847767861256498E-2</v>
      </c>
      <c r="F22" s="17">
        <v>462876.57697897439</v>
      </c>
      <c r="G22" s="17"/>
    </row>
    <row r="23" spans="1:7" x14ac:dyDescent="0.25">
      <c r="A23" t="s">
        <v>291</v>
      </c>
      <c r="B23" s="6">
        <v>136392.89377273299</v>
      </c>
      <c r="C23" s="10">
        <v>2.5000000000000001E-3</v>
      </c>
      <c r="D23" s="15">
        <v>23234.179779999999</v>
      </c>
      <c r="E23" s="10">
        <v>5.7284215225075631E-2</v>
      </c>
      <c r="F23" s="17">
        <v>442914.16660615837</v>
      </c>
      <c r="G23" s="17"/>
    </row>
    <row r="24" spans="1:7" x14ac:dyDescent="0.25">
      <c r="A24" t="s">
        <v>292</v>
      </c>
      <c r="B24" s="6">
        <v>140657.11359792101</v>
      </c>
      <c r="C24" s="10">
        <v>5.8333333333333336E-3</v>
      </c>
      <c r="D24" s="15">
        <v>28348.561438000001</v>
      </c>
      <c r="E24" s="10">
        <v>5.7096567635941155E-2</v>
      </c>
      <c r="F24" s="17">
        <v>457014.39122474799</v>
      </c>
      <c r="G24" s="17"/>
    </row>
    <row r="25" spans="1:7" x14ac:dyDescent="0.25">
      <c r="A25" t="s">
        <v>293</v>
      </c>
      <c r="B25" s="6">
        <v>146471.50810771901</v>
      </c>
      <c r="C25" s="10">
        <v>0.02</v>
      </c>
      <c r="D25" s="15">
        <v>36075.343408000001</v>
      </c>
      <c r="E25" s="10">
        <v>5.8480142310552263E-2</v>
      </c>
      <c r="F25" s="17">
        <v>449956.65666507336</v>
      </c>
      <c r="G25" s="17"/>
    </row>
    <row r="26" spans="1:7" x14ac:dyDescent="0.25">
      <c r="A26" t="s">
        <v>294</v>
      </c>
      <c r="B26" s="6">
        <v>133345.788783514</v>
      </c>
      <c r="C26" s="10">
        <v>3.5000000000000003E-2</v>
      </c>
      <c r="D26" s="15">
        <v>56667.923790000001</v>
      </c>
      <c r="E26" s="10">
        <v>6.1833225471764938E-2</v>
      </c>
      <c r="F26" s="17">
        <v>441583.01058179163</v>
      </c>
      <c r="G26" s="17"/>
    </row>
    <row r="27" spans="1:7" x14ac:dyDescent="0.25">
      <c r="A27" t="s">
        <v>295</v>
      </c>
      <c r="B27" s="6">
        <v>141036.723254107</v>
      </c>
      <c r="C27" s="10">
        <v>0.05</v>
      </c>
      <c r="D27" s="15">
        <v>17931.793354000001</v>
      </c>
      <c r="E27" s="10">
        <v>6.1726821920808875E-2</v>
      </c>
      <c r="F27" s="17">
        <v>428830.71098827734</v>
      </c>
      <c r="G27" s="17"/>
    </row>
    <row r="28" spans="1:7" x14ac:dyDescent="0.25">
      <c r="A28" t="s">
        <v>296</v>
      </c>
      <c r="B28" s="6">
        <v>143542.80216168999</v>
      </c>
      <c r="C28" s="10">
        <v>6.4166666666666664E-2</v>
      </c>
      <c r="D28" s="15">
        <v>28517.933497999999</v>
      </c>
      <c r="E28" s="10">
        <v>5.8218860512148467E-2</v>
      </c>
      <c r="F28" s="17">
        <v>442149.01638283429</v>
      </c>
      <c r="G28" s="17"/>
    </row>
    <row r="29" spans="1:7" x14ac:dyDescent="0.25">
      <c r="A29" t="s">
        <v>297</v>
      </c>
      <c r="B29" s="6">
        <v>149462.87166954999</v>
      </c>
      <c r="C29" s="10">
        <v>7.2499999999999995E-2</v>
      </c>
      <c r="D29" s="15">
        <v>21428.426273000001</v>
      </c>
      <c r="E29" s="10">
        <v>5.8739090472704564E-2</v>
      </c>
      <c r="F29" s="17">
        <v>443865.866942105</v>
      </c>
      <c r="G29" s="17"/>
    </row>
    <row r="30" spans="1:7" x14ac:dyDescent="0.25">
      <c r="A30" t="s">
        <v>298</v>
      </c>
      <c r="B30" s="6">
        <v>133199.101081865</v>
      </c>
      <c r="C30" s="10">
        <v>7.7499999999999999E-2</v>
      </c>
      <c r="D30" s="15">
        <v>53536.773252999999</v>
      </c>
      <c r="E30" s="10">
        <v>5.9168733547931673E-2</v>
      </c>
      <c r="F30" s="17">
        <v>444723.28936861258</v>
      </c>
      <c r="G30" s="17"/>
    </row>
    <row r="31" spans="1:7" x14ac:dyDescent="0.25">
      <c r="A31" t="s">
        <v>299</v>
      </c>
      <c r="B31" s="6">
        <v>140427.20612333901</v>
      </c>
      <c r="C31" s="10">
        <v>7.7499999999999999E-2</v>
      </c>
      <c r="D31" s="15">
        <v>19948.289003000002</v>
      </c>
      <c r="E31" s="10">
        <v>5.6444609876535073E-2</v>
      </c>
      <c r="F31" s="17">
        <v>429707.75545045501</v>
      </c>
      <c r="G31" s="17"/>
    </row>
    <row r="32" spans="1:7" x14ac:dyDescent="0.25">
      <c r="A32" t="s">
        <v>300</v>
      </c>
      <c r="B32" s="6">
        <v>142597.47099672799</v>
      </c>
      <c r="C32" s="10">
        <v>7.6666666666666675E-2</v>
      </c>
      <c r="D32" s="15">
        <v>21189.351422</v>
      </c>
      <c r="E32" s="10">
        <v>5.3478296858450562E-2</v>
      </c>
      <c r="F32" s="17">
        <v>434957.58685729071</v>
      </c>
      <c r="G32" s="17"/>
    </row>
    <row r="33" spans="1:7" x14ac:dyDescent="0.25">
      <c r="A33" t="s">
        <v>301</v>
      </c>
      <c r="B33" s="6">
        <v>148877.412001905</v>
      </c>
      <c r="C33" s="10">
        <v>7.0000000000000007E-2</v>
      </c>
      <c r="D33" s="15">
        <v>11635.02622</v>
      </c>
      <c r="E33" s="10">
        <v>5.5922422063153079E-2</v>
      </c>
      <c r="F33" s="17">
        <v>442435.22368915624</v>
      </c>
      <c r="G33" s="17"/>
    </row>
    <row r="34" spans="1:7" x14ac:dyDescent="0.25">
      <c r="A34" t="s">
        <v>302</v>
      </c>
      <c r="B34" s="6">
        <v>135026.24537566199</v>
      </c>
      <c r="C34" s="10">
        <v>6.3333333333333325E-2</v>
      </c>
      <c r="D34" s="15">
        <v>51286.683622999997</v>
      </c>
      <c r="E34" s="10">
        <v>5.340190840940167E-2</v>
      </c>
      <c r="F34" s="17">
        <v>449339.40972437558</v>
      </c>
      <c r="G34" s="17"/>
    </row>
    <row r="35" spans="1:7" x14ac:dyDescent="0.25">
      <c r="A35" t="s">
        <v>303</v>
      </c>
      <c r="B35" s="6">
        <v>145497.92528920801</v>
      </c>
      <c r="C35" s="10">
        <v>5.8333333333333327E-2</v>
      </c>
      <c r="D35" s="15">
        <v>18047.891780000002</v>
      </c>
      <c r="E35" s="10">
        <v>5.1239979635881172E-2</v>
      </c>
      <c r="F35" s="17">
        <v>460318.89624833933</v>
      </c>
      <c r="G35" s="17"/>
    </row>
    <row r="36" spans="1:7" x14ac:dyDescent="0.25">
      <c r="A36" t="s">
        <v>304</v>
      </c>
      <c r="B36" s="6">
        <v>148092.023399903</v>
      </c>
      <c r="C36" s="10">
        <v>5.5E-2</v>
      </c>
      <c r="D36" s="15">
        <v>23907.443693000001</v>
      </c>
      <c r="E36" s="10">
        <v>5.2367280119394295E-2</v>
      </c>
      <c r="F36" s="17">
        <v>493973.57095893286</v>
      </c>
      <c r="G36" s="17"/>
    </row>
    <row r="37" spans="1:7" x14ac:dyDescent="0.25">
      <c r="A37" t="s">
        <v>305</v>
      </c>
      <c r="B37" s="6">
        <v>155150.116522667</v>
      </c>
      <c r="C37" s="10">
        <v>5.0833333333333328E-2</v>
      </c>
      <c r="D37" s="15">
        <v>18893.109940999999</v>
      </c>
      <c r="E37" s="10">
        <v>5.0298231559569695E-2</v>
      </c>
      <c r="F37" s="17">
        <v>508809.22661355592</v>
      </c>
      <c r="G37" s="17"/>
    </row>
  </sheetData>
  <phoneticPr fontId="7"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8806-EC4D-4B82-86A0-718C4F737761}">
  <dimension ref="A1:D182"/>
  <sheetViews>
    <sheetView workbookViewId="0">
      <selection activeCell="D4" sqref="D4:D39"/>
    </sheetView>
  </sheetViews>
  <sheetFormatPr baseColWidth="10" defaultColWidth="9.140625" defaultRowHeight="15" x14ac:dyDescent="0.25"/>
  <cols>
    <col min="1" max="16384" width="9.140625" style="3"/>
  </cols>
  <sheetData>
    <row r="1" spans="1:4" x14ac:dyDescent="0.25">
      <c r="B1" s="3" t="s">
        <v>259</v>
      </c>
    </row>
    <row r="2" spans="1:4" x14ac:dyDescent="0.25">
      <c r="B2" s="3" t="s">
        <v>258</v>
      </c>
    </row>
    <row r="3" spans="1:4" x14ac:dyDescent="0.25">
      <c r="A3" s="3" t="s">
        <v>249</v>
      </c>
      <c r="B3" s="3">
        <v>43697.405710439998</v>
      </c>
    </row>
    <row r="4" spans="1:4" x14ac:dyDescent="0.25">
      <c r="A4" s="3" t="s">
        <v>248</v>
      </c>
      <c r="B4" s="3">
        <v>44306.484879900003</v>
      </c>
      <c r="D4" s="6">
        <v>148353.70027133333</v>
      </c>
    </row>
    <row r="5" spans="1:4" x14ac:dyDescent="0.25">
      <c r="A5" s="3" t="s">
        <v>247</v>
      </c>
      <c r="B5" s="3">
        <v>45097.731990079999</v>
      </c>
      <c r="D5" s="6">
        <v>149732.36810666666</v>
      </c>
    </row>
    <row r="6" spans="1:4" x14ac:dyDescent="0.25">
      <c r="A6" s="3" t="s">
        <v>246</v>
      </c>
      <c r="B6" s="3">
        <v>46169.991144680003</v>
      </c>
      <c r="D6" s="6">
        <v>156421.69410933333</v>
      </c>
    </row>
    <row r="7" spans="1:4" x14ac:dyDescent="0.25">
      <c r="A7" s="3" t="s">
        <v>245</v>
      </c>
      <c r="B7" s="3">
        <v>46824.225973870001</v>
      </c>
      <c r="D7" s="6">
        <v>160713.67357833334</v>
      </c>
    </row>
    <row r="8" spans="1:4" x14ac:dyDescent="0.25">
      <c r="A8" s="3" t="s">
        <v>244</v>
      </c>
      <c r="B8" s="3">
        <v>47927.587728605002</v>
      </c>
      <c r="D8" s="6">
        <v>194133.12328366667</v>
      </c>
    </row>
    <row r="9" spans="1:4" x14ac:dyDescent="0.25">
      <c r="A9" s="3" t="s">
        <v>243</v>
      </c>
      <c r="B9" s="3">
        <v>48963.644592359997</v>
      </c>
      <c r="D9" s="6">
        <v>197696.96708466668</v>
      </c>
    </row>
    <row r="10" spans="1:4" x14ac:dyDescent="0.25">
      <c r="A10" s="3" t="s">
        <v>242</v>
      </c>
      <c r="B10" s="3">
        <v>49114.001904080003</v>
      </c>
      <c r="D10" s="6">
        <v>205735.76847700001</v>
      </c>
    </row>
    <row r="11" spans="1:4" x14ac:dyDescent="0.25">
      <c r="A11" s="3" t="s">
        <v>241</v>
      </c>
      <c r="B11" s="3">
        <v>49165.63028659</v>
      </c>
      <c r="D11" s="6">
        <v>216406.79702300002</v>
      </c>
    </row>
    <row r="12" spans="1:4" x14ac:dyDescent="0.25">
      <c r="A12" s="3" t="s">
        <v>240</v>
      </c>
      <c r="B12" s="3">
        <v>49707.258209729996</v>
      </c>
      <c r="D12" s="6">
        <v>225685.343222</v>
      </c>
    </row>
    <row r="13" spans="1:4" x14ac:dyDescent="0.25">
      <c r="A13" s="3" t="s">
        <v>239</v>
      </c>
      <c r="B13" s="3">
        <v>50978.41168505</v>
      </c>
      <c r="D13" s="6">
        <v>225786.543351</v>
      </c>
    </row>
    <row r="14" spans="1:4" x14ac:dyDescent="0.25">
      <c r="A14" s="3" t="s">
        <v>238</v>
      </c>
      <c r="B14" s="3">
        <v>51767.887881130002</v>
      </c>
      <c r="D14" s="6">
        <v>234071.65827299998</v>
      </c>
    </row>
    <row r="15" spans="1:4" x14ac:dyDescent="0.25">
      <c r="A15" s="3" t="s">
        <v>237</v>
      </c>
      <c r="B15" s="3">
        <v>52497.432999999997</v>
      </c>
      <c r="D15" s="6">
        <v>230618.797509</v>
      </c>
    </row>
    <row r="16" spans="1:4" x14ac:dyDescent="0.25">
      <c r="A16" s="3" t="s">
        <v>236</v>
      </c>
      <c r="B16" s="3">
        <v>53112.32</v>
      </c>
      <c r="D16" s="6">
        <v>207985.96666666667</v>
      </c>
    </row>
    <row r="17" spans="1:4" x14ac:dyDescent="0.25">
      <c r="A17" s="3" t="s">
        <v>235</v>
      </c>
      <c r="B17" s="3">
        <v>53932.483</v>
      </c>
      <c r="D17" s="6">
        <v>209690.75</v>
      </c>
    </row>
    <row r="18" spans="1:4" x14ac:dyDescent="0.25">
      <c r="A18" s="3" t="s">
        <v>234</v>
      </c>
      <c r="B18" s="3">
        <v>55272.819000000003</v>
      </c>
      <c r="D18" s="6">
        <v>217293.72</v>
      </c>
    </row>
    <row r="19" spans="1:4" x14ac:dyDescent="0.25">
      <c r="A19" s="3" t="s">
        <v>233</v>
      </c>
      <c r="B19" s="3">
        <v>56262.809000000001</v>
      </c>
      <c r="D19" s="6">
        <v>225225.64999999997</v>
      </c>
    </row>
    <row r="20" spans="1:4" x14ac:dyDescent="0.25">
      <c r="A20" s="3" t="s">
        <v>232</v>
      </c>
      <c r="B20" s="3">
        <v>57102.855000000003</v>
      </c>
      <c r="D20" s="6">
        <v>236534.7233333333</v>
      </c>
    </row>
    <row r="21" spans="1:4" x14ac:dyDescent="0.25">
      <c r="A21" s="3" t="s">
        <v>231</v>
      </c>
      <c r="B21" s="3">
        <v>57842.156000000003</v>
      </c>
      <c r="D21" s="6">
        <v>267709.02333333332</v>
      </c>
    </row>
    <row r="22" spans="1:4" x14ac:dyDescent="0.25">
      <c r="A22" s="3" t="s">
        <v>230</v>
      </c>
      <c r="B22" s="3">
        <v>58192.485999999997</v>
      </c>
      <c r="D22" s="6">
        <v>295162.68</v>
      </c>
    </row>
    <row r="23" spans="1:4" x14ac:dyDescent="0.25">
      <c r="A23" s="3" t="s">
        <v>229</v>
      </c>
      <c r="B23" s="3">
        <v>58725.586000000003</v>
      </c>
      <c r="D23" s="6">
        <v>302902.99422853399</v>
      </c>
    </row>
    <row r="24" spans="1:4" x14ac:dyDescent="0.25">
      <c r="A24" s="3" t="s">
        <v>228</v>
      </c>
      <c r="B24" s="3">
        <v>59934.936999999998</v>
      </c>
      <c r="D24" s="6">
        <v>313908.82018134103</v>
      </c>
    </row>
    <row r="25" spans="1:4" x14ac:dyDescent="0.25">
      <c r="A25" s="3" t="s">
        <v>227</v>
      </c>
      <c r="B25" s="3">
        <v>61188.449000000001</v>
      </c>
      <c r="D25" s="6">
        <v>301456.65396278503</v>
      </c>
    </row>
    <row r="26" spans="1:4" x14ac:dyDescent="0.25">
      <c r="A26" s="3" t="s">
        <v>226</v>
      </c>
      <c r="B26" s="3">
        <v>62528.978000000003</v>
      </c>
      <c r="D26" s="6">
        <v>309762.60518394469</v>
      </c>
    </row>
    <row r="27" spans="1:4" x14ac:dyDescent="0.25">
      <c r="A27" s="3" t="s">
        <v>225</v>
      </c>
      <c r="B27" s="3">
        <v>62427.682822529998</v>
      </c>
      <c r="D27" s="6">
        <v>306608.61739214999</v>
      </c>
    </row>
    <row r="28" spans="1:4" x14ac:dyDescent="0.25">
      <c r="A28" s="3" t="s">
        <v>224</v>
      </c>
      <c r="B28" s="3">
        <v>62805.782981559998</v>
      </c>
      <c r="D28" s="6">
        <v>301307.93878632167</v>
      </c>
    </row>
    <row r="29" spans="1:4" x14ac:dyDescent="0.25">
      <c r="A29" s="3" t="s">
        <v>223</v>
      </c>
      <c r="B29" s="3">
        <v>63545.782712537199</v>
      </c>
      <c r="D29" s="6">
        <v>293735.00153704733</v>
      </c>
    </row>
    <row r="30" spans="1:4" x14ac:dyDescent="0.25">
      <c r="A30" s="3" t="s">
        <v>222</v>
      </c>
      <c r="B30" s="3">
        <v>64178.050149460003</v>
      </c>
      <c r="D30" s="6">
        <v>303834.18035635765</v>
      </c>
    </row>
    <row r="31" spans="1:4" x14ac:dyDescent="0.25">
      <c r="A31" s="3" t="s">
        <v>221</v>
      </c>
      <c r="B31" s="3">
        <v>65299.663025469999</v>
      </c>
      <c r="D31" s="6">
        <v>306483.99286867166</v>
      </c>
    </row>
    <row r="32" spans="1:4" x14ac:dyDescent="0.25">
      <c r="A32" s="3" t="s">
        <v>220</v>
      </c>
      <c r="B32" s="3">
        <v>66479.5616286</v>
      </c>
      <c r="D32" s="6">
        <v>307606.62490447261</v>
      </c>
    </row>
    <row r="33" spans="1:4" x14ac:dyDescent="0.25">
      <c r="A33" s="3" t="s">
        <v>219</v>
      </c>
      <c r="B33" s="3">
        <v>67477.756753950001</v>
      </c>
      <c r="D33" s="6">
        <v>300369.12712472834</v>
      </c>
    </row>
    <row r="34" spans="1:4" x14ac:dyDescent="0.25">
      <c r="A34" s="3" t="s">
        <v>218</v>
      </c>
      <c r="B34" s="3">
        <v>68418.786699439996</v>
      </c>
      <c r="D34" s="6">
        <v>304785.83401162404</v>
      </c>
    </row>
    <row r="35" spans="1:4" x14ac:dyDescent="0.25">
      <c r="A35" s="3" t="s">
        <v>217</v>
      </c>
      <c r="B35" s="3">
        <v>69045.56838081</v>
      </c>
      <c r="D35" s="6">
        <v>309540.85380271962</v>
      </c>
    </row>
    <row r="36" spans="1:4" x14ac:dyDescent="0.25">
      <c r="A36" s="3" t="s">
        <v>216</v>
      </c>
      <c r="B36" s="3">
        <v>69424.897578959994</v>
      </c>
      <c r="D36" s="6">
        <v>314542.07269948896</v>
      </c>
    </row>
    <row r="37" spans="1:4" x14ac:dyDescent="0.25">
      <c r="A37" s="3" t="s">
        <v>215</v>
      </c>
      <c r="B37" s="3">
        <v>70434.224102429507</v>
      </c>
      <c r="D37" s="6">
        <v>321364.33260228601</v>
      </c>
    </row>
    <row r="38" spans="1:4" x14ac:dyDescent="0.25">
      <c r="A38" s="3" t="s">
        <v>214</v>
      </c>
      <c r="B38" s="3">
        <v>71783.278999999995</v>
      </c>
      <c r="D38" s="6">
        <v>342876.82439391292</v>
      </c>
    </row>
    <row r="39" spans="1:4" x14ac:dyDescent="0.25">
      <c r="A39" s="3" t="s">
        <v>213</v>
      </c>
      <c r="B39" s="3">
        <v>71713.646999999997</v>
      </c>
      <c r="D39" s="6">
        <v>353294.28537554597</v>
      </c>
    </row>
    <row r="40" spans="1:4" x14ac:dyDescent="0.25">
      <c r="A40" s="3" t="s">
        <v>212</v>
      </c>
      <c r="B40" s="3">
        <v>72374.012000000002</v>
      </c>
    </row>
    <row r="41" spans="1:4" x14ac:dyDescent="0.25">
      <c r="A41" s="3" t="s">
        <v>211</v>
      </c>
      <c r="B41" s="3">
        <v>73877.505999999994</v>
      </c>
    </row>
    <row r="42" spans="1:4" x14ac:dyDescent="0.25">
      <c r="A42" s="3" t="s">
        <v>210</v>
      </c>
      <c r="B42" s="3">
        <v>75276.043000000005</v>
      </c>
    </row>
    <row r="43" spans="1:4" x14ac:dyDescent="0.25">
      <c r="A43" s="3" t="s">
        <v>209</v>
      </c>
      <c r="B43" s="3">
        <v>76577.582999999999</v>
      </c>
    </row>
    <row r="44" spans="1:4" x14ac:dyDescent="0.25">
      <c r="A44" s="3" t="s">
        <v>208</v>
      </c>
      <c r="B44" s="3">
        <v>78606.902000000002</v>
      </c>
    </row>
    <row r="45" spans="1:4" x14ac:dyDescent="0.25">
      <c r="A45" s="3" t="s">
        <v>207</v>
      </c>
      <c r="B45" s="3">
        <v>80530.994999999995</v>
      </c>
    </row>
    <row r="46" spans="1:4" x14ac:dyDescent="0.25">
      <c r="A46" s="3" t="s">
        <v>206</v>
      </c>
      <c r="B46" s="3">
        <v>82779.754000000001</v>
      </c>
    </row>
    <row r="47" spans="1:4" x14ac:dyDescent="0.25">
      <c r="A47" s="3" t="s">
        <v>205</v>
      </c>
      <c r="B47" s="3">
        <v>85012.293999999994</v>
      </c>
    </row>
    <row r="48" spans="1:4" x14ac:dyDescent="0.25">
      <c r="A48" s="3" t="s">
        <v>204</v>
      </c>
      <c r="B48" s="3">
        <v>86661.38</v>
      </c>
    </row>
    <row r="49" spans="1:2" x14ac:dyDescent="0.25">
      <c r="A49" s="3" t="s">
        <v>203</v>
      </c>
      <c r="B49" s="3">
        <v>89305.274000000005</v>
      </c>
    </row>
    <row r="50" spans="1:2" x14ac:dyDescent="0.25">
      <c r="A50" s="3" t="s">
        <v>202</v>
      </c>
      <c r="B50" s="3">
        <v>90280.846000000005</v>
      </c>
    </row>
    <row r="51" spans="1:2" x14ac:dyDescent="0.25">
      <c r="A51" s="3" t="s">
        <v>201</v>
      </c>
      <c r="B51" s="3">
        <v>91088.153000000006</v>
      </c>
    </row>
    <row r="52" spans="1:2" x14ac:dyDescent="0.25">
      <c r="A52" s="3" t="s">
        <v>200</v>
      </c>
      <c r="B52" s="3">
        <v>93128.554999999993</v>
      </c>
    </row>
    <row r="53" spans="1:2" x14ac:dyDescent="0.25">
      <c r="A53" s="3" t="s">
        <v>199</v>
      </c>
      <c r="B53" s="3">
        <v>95224.66</v>
      </c>
    </row>
    <row r="54" spans="1:2" x14ac:dyDescent="0.25">
      <c r="A54" s="3" t="s">
        <v>198</v>
      </c>
      <c r="B54" s="3">
        <v>96248.123000000007</v>
      </c>
    </row>
    <row r="55" spans="1:2" x14ac:dyDescent="0.25">
      <c r="A55" s="3" t="s">
        <v>197</v>
      </c>
      <c r="B55" s="3">
        <v>97398.116999999998</v>
      </c>
    </row>
    <row r="56" spans="1:2" x14ac:dyDescent="0.25">
      <c r="A56" s="3" t="s">
        <v>196</v>
      </c>
      <c r="B56" s="3">
        <v>98048.376000000004</v>
      </c>
    </row>
    <row r="57" spans="1:2" x14ac:dyDescent="0.25">
      <c r="A57" s="3" t="s">
        <v>195</v>
      </c>
      <c r="B57" s="3">
        <v>98504.034</v>
      </c>
    </row>
    <row r="58" spans="1:2" x14ac:dyDescent="0.25">
      <c r="A58" s="3" t="s">
        <v>194</v>
      </c>
      <c r="B58" s="3">
        <v>99700.832999999999</v>
      </c>
    </row>
    <row r="59" spans="1:2" x14ac:dyDescent="0.25">
      <c r="A59" s="3" t="s">
        <v>193</v>
      </c>
      <c r="B59" s="3">
        <v>101457.424</v>
      </c>
    </row>
    <row r="60" spans="1:2" x14ac:dyDescent="0.25">
      <c r="A60" s="3" t="s">
        <v>192</v>
      </c>
      <c r="B60" s="3">
        <v>103637.867</v>
      </c>
    </row>
    <row r="61" spans="1:2" x14ac:dyDescent="0.25">
      <c r="A61" s="3" t="s">
        <v>191</v>
      </c>
      <c r="B61" s="3">
        <v>106021.099</v>
      </c>
    </row>
    <row r="62" spans="1:2" x14ac:dyDescent="0.25">
      <c r="A62" s="3" t="s">
        <v>190</v>
      </c>
      <c r="B62" s="3">
        <v>108271.139</v>
      </c>
    </row>
    <row r="63" spans="1:2" x14ac:dyDescent="0.25">
      <c r="A63" s="3" t="s">
        <v>189</v>
      </c>
      <c r="B63" s="3">
        <v>108702.8</v>
      </c>
    </row>
    <row r="64" spans="1:2" x14ac:dyDescent="0.25">
      <c r="A64" s="3" t="s">
        <v>188</v>
      </c>
      <c r="B64" s="3">
        <v>110479.114</v>
      </c>
    </row>
    <row r="65" spans="1:4" x14ac:dyDescent="0.25">
      <c r="A65" s="3" t="s">
        <v>187</v>
      </c>
      <c r="B65" s="3">
        <v>117784.046</v>
      </c>
    </row>
    <row r="66" spans="1:4" x14ac:dyDescent="0.25">
      <c r="A66" s="3" t="s">
        <v>186</v>
      </c>
      <c r="B66" s="3">
        <v>122391.602</v>
      </c>
    </row>
    <row r="67" spans="1:4" x14ac:dyDescent="0.25">
      <c r="A67" s="3" t="s">
        <v>185</v>
      </c>
      <c r="B67" s="3">
        <v>125646.048</v>
      </c>
    </row>
    <row r="68" spans="1:4" x14ac:dyDescent="0.25">
      <c r="A68" s="3" t="s">
        <v>184</v>
      </c>
      <c r="B68" s="3">
        <v>128703.364</v>
      </c>
    </row>
    <row r="69" spans="1:4" x14ac:dyDescent="0.25">
      <c r="A69" s="3" t="s">
        <v>183</v>
      </c>
      <c r="B69" s="3">
        <v>131459.12100000001</v>
      </c>
    </row>
    <row r="70" spans="1:4" x14ac:dyDescent="0.25">
      <c r="A70" s="3" t="s">
        <v>182</v>
      </c>
      <c r="B70" s="3">
        <v>135934.139</v>
      </c>
    </row>
    <row r="71" spans="1:4" x14ac:dyDescent="0.25">
      <c r="A71" s="3" t="s">
        <v>181</v>
      </c>
      <c r="B71" s="3">
        <v>139903.44099999999</v>
      </c>
    </row>
    <row r="72" spans="1:4" x14ac:dyDescent="0.25">
      <c r="A72" s="3" t="s">
        <v>180</v>
      </c>
      <c r="B72" s="3">
        <v>142224.96100000001</v>
      </c>
    </row>
    <row r="73" spans="1:4" x14ac:dyDescent="0.25">
      <c r="A73" s="3" t="s">
        <v>179</v>
      </c>
      <c r="B73" s="3">
        <v>145835.87</v>
      </c>
    </row>
    <row r="74" spans="1:4" x14ac:dyDescent="0.25">
      <c r="A74" s="3" t="s">
        <v>178</v>
      </c>
      <c r="B74" s="3">
        <v>146659.859</v>
      </c>
    </row>
    <row r="75" spans="1:4" s="14" customFormat="1" x14ac:dyDescent="0.25">
      <c r="A75" s="14" t="s">
        <v>177</v>
      </c>
      <c r="B75" s="14">
        <v>148555.33100000001</v>
      </c>
    </row>
    <row r="76" spans="1:4" x14ac:dyDescent="0.25">
      <c r="A76" s="3" t="s">
        <v>176</v>
      </c>
      <c r="B76" s="3">
        <v>149612.03099999999</v>
      </c>
    </row>
    <row r="77" spans="1:4" x14ac:dyDescent="0.25">
      <c r="A77" s="3" t="s">
        <v>175</v>
      </c>
      <c r="B77" s="3">
        <v>150497.976</v>
      </c>
      <c r="D77" s="3">
        <f>AVERAGE(B75:B77)</f>
        <v>149555.11266666665</v>
      </c>
    </row>
    <row r="78" spans="1:4" x14ac:dyDescent="0.25">
      <c r="A78" s="3" t="s">
        <v>174</v>
      </c>
      <c r="B78" s="3">
        <v>152344.682</v>
      </c>
    </row>
    <row r="79" spans="1:4" x14ac:dyDescent="0.25">
      <c r="A79" s="3" t="s">
        <v>173</v>
      </c>
      <c r="B79" s="3">
        <v>151365.592</v>
      </c>
    </row>
    <row r="80" spans="1:4" x14ac:dyDescent="0.25">
      <c r="A80" s="3" t="s">
        <v>172</v>
      </c>
      <c r="B80" s="3">
        <v>151980.476</v>
      </c>
      <c r="D80" s="3">
        <f>AVERAGE(B78:B80)</f>
        <v>151896.91666666666</v>
      </c>
    </row>
    <row r="81" spans="1:4" x14ac:dyDescent="0.25">
      <c r="A81" s="3" t="s">
        <v>171</v>
      </c>
      <c r="B81" s="3">
        <v>153127.76300000001</v>
      </c>
    </row>
    <row r="82" spans="1:4" x14ac:dyDescent="0.25">
      <c r="A82" s="3" t="s">
        <v>170</v>
      </c>
      <c r="B82" s="3">
        <v>152536.19399999999</v>
      </c>
    </row>
    <row r="83" spans="1:4" x14ac:dyDescent="0.25">
      <c r="A83" s="3" t="s">
        <v>169</v>
      </c>
      <c r="B83" s="3">
        <v>152726.06400000001</v>
      </c>
      <c r="D83" s="3">
        <f>AVERAGE(B81:B83)</f>
        <v>152796.67366666667</v>
      </c>
    </row>
    <row r="84" spans="1:4" x14ac:dyDescent="0.25">
      <c r="A84" s="3" t="s">
        <v>168</v>
      </c>
      <c r="B84" s="3">
        <v>153267.34299999999</v>
      </c>
    </row>
    <row r="85" spans="1:4" x14ac:dyDescent="0.25">
      <c r="A85" s="3" t="s">
        <v>167</v>
      </c>
      <c r="B85" s="3">
        <v>155496.92300000001</v>
      </c>
    </row>
    <row r="86" spans="1:4" x14ac:dyDescent="0.25">
      <c r="A86" s="3" t="s">
        <v>166</v>
      </c>
      <c r="B86" s="3">
        <v>155474.52100000001</v>
      </c>
      <c r="D86" s="3">
        <f>AVERAGE(B84:B86)</f>
        <v>154746.26233333335</v>
      </c>
    </row>
    <row r="87" spans="1:4" x14ac:dyDescent="0.25">
      <c r="A87" s="3" t="s">
        <v>165</v>
      </c>
      <c r="B87" s="3">
        <v>154392.101</v>
      </c>
    </row>
    <row r="88" spans="1:4" x14ac:dyDescent="0.25">
      <c r="A88" s="3" t="s">
        <v>164</v>
      </c>
      <c r="B88" s="3">
        <v>154541.636</v>
      </c>
    </row>
    <row r="89" spans="1:4" x14ac:dyDescent="0.25">
      <c r="A89" s="3" t="s">
        <v>163</v>
      </c>
      <c r="B89" s="3">
        <v>154086.639</v>
      </c>
      <c r="D89" s="3">
        <f>AVERAGE(B87:B89)</f>
        <v>154340.1253333333</v>
      </c>
    </row>
    <row r="90" spans="1:4" x14ac:dyDescent="0.25">
      <c r="A90" s="3" t="s">
        <v>162</v>
      </c>
      <c r="B90" s="3">
        <v>154310.163</v>
      </c>
    </row>
    <row r="91" spans="1:4" x14ac:dyDescent="0.25">
      <c r="A91" s="3" t="s">
        <v>161</v>
      </c>
      <c r="B91" s="3">
        <v>154387.49799999999</v>
      </c>
    </row>
    <row r="92" spans="1:4" x14ac:dyDescent="0.25">
      <c r="A92" s="3" t="s">
        <v>160</v>
      </c>
      <c r="B92" s="3">
        <v>154529.85800000001</v>
      </c>
      <c r="D92" s="3">
        <f>AVERAGE(B90:B92)</f>
        <v>154409.17299999998</v>
      </c>
    </row>
    <row r="93" spans="1:4" x14ac:dyDescent="0.25">
      <c r="A93" s="3" t="s">
        <v>159</v>
      </c>
      <c r="B93" s="3">
        <v>155058.89199999999</v>
      </c>
    </row>
    <row r="94" spans="1:4" x14ac:dyDescent="0.25">
      <c r="A94" s="3" t="s">
        <v>158</v>
      </c>
      <c r="B94" s="3">
        <v>155913.47200000001</v>
      </c>
    </row>
    <row r="95" spans="1:4" x14ac:dyDescent="0.25">
      <c r="A95" s="3" t="s">
        <v>157</v>
      </c>
      <c r="B95" s="3">
        <v>156612.13500000001</v>
      </c>
      <c r="D95" s="3">
        <f>AVERAGE(B93:B95)</f>
        <v>155861.49966666667</v>
      </c>
    </row>
    <row r="96" spans="1:4" x14ac:dyDescent="0.25">
      <c r="A96" s="3" t="s">
        <v>156</v>
      </c>
      <c r="B96" s="3">
        <v>157427.10399999999</v>
      </c>
    </row>
    <row r="97" spans="1:4" x14ac:dyDescent="0.25">
      <c r="A97" s="3" t="s">
        <v>155</v>
      </c>
      <c r="B97" s="3">
        <v>159061.894</v>
      </c>
    </row>
    <row r="98" spans="1:4" x14ac:dyDescent="0.25">
      <c r="A98" s="3" t="s">
        <v>154</v>
      </c>
      <c r="B98" s="3">
        <v>159786.96</v>
      </c>
      <c r="D98" s="3">
        <f>AVERAGE(B96:B98)</f>
        <v>158758.65266666666</v>
      </c>
    </row>
    <row r="99" spans="1:4" x14ac:dyDescent="0.25">
      <c r="A99" s="3" t="s">
        <v>153</v>
      </c>
      <c r="B99" s="3">
        <v>159841.59599999999</v>
      </c>
    </row>
    <row r="100" spans="1:4" x14ac:dyDescent="0.25">
      <c r="A100" s="3" t="s">
        <v>152</v>
      </c>
      <c r="B100" s="3">
        <v>161014.663</v>
      </c>
    </row>
    <row r="101" spans="1:4" x14ac:dyDescent="0.25">
      <c r="A101" s="3" t="s">
        <v>151</v>
      </c>
      <c r="B101" s="3">
        <v>162695.473</v>
      </c>
      <c r="D101" s="3">
        <f>AVERAGE(B99:B101)</f>
        <v>161183.91066666666</v>
      </c>
    </row>
    <row r="102" spans="1:4" x14ac:dyDescent="0.25">
      <c r="A102" s="3" t="s">
        <v>150</v>
      </c>
      <c r="B102" s="3">
        <v>164776.00200000001</v>
      </c>
    </row>
    <row r="103" spans="1:4" x14ac:dyDescent="0.25">
      <c r="A103" s="3" t="s">
        <v>149</v>
      </c>
      <c r="B103" s="3">
        <v>166112.62899999999</v>
      </c>
    </row>
    <row r="104" spans="1:4" x14ac:dyDescent="0.25">
      <c r="A104" s="3" t="s">
        <v>148</v>
      </c>
      <c r="B104" s="3">
        <v>167310.98199999999</v>
      </c>
      <c r="D104" s="3">
        <f>AVERAGE(B102:B104)</f>
        <v>166066.53766666667</v>
      </c>
    </row>
    <row r="105" spans="1:4" x14ac:dyDescent="0.25">
      <c r="A105" s="3" t="s">
        <v>147</v>
      </c>
      <c r="B105" s="3">
        <v>168483.89499999999</v>
      </c>
    </row>
    <row r="106" spans="1:4" x14ac:dyDescent="0.25">
      <c r="A106" s="3" t="s">
        <v>146</v>
      </c>
      <c r="B106" s="3">
        <v>169931.073</v>
      </c>
    </row>
    <row r="107" spans="1:4" x14ac:dyDescent="0.25">
      <c r="A107" s="3" t="s">
        <v>145</v>
      </c>
      <c r="B107" s="3">
        <v>171687.05799999999</v>
      </c>
      <c r="D107" s="3">
        <f>AVERAGE(B105:B107)</f>
        <v>170034.00866666666</v>
      </c>
    </row>
    <row r="108" spans="1:4" x14ac:dyDescent="0.25">
      <c r="A108" s="3" t="s">
        <v>144</v>
      </c>
      <c r="B108" s="3">
        <v>174300.72500000001</v>
      </c>
    </row>
    <row r="109" spans="1:4" x14ac:dyDescent="0.25">
      <c r="A109" s="3" t="s">
        <v>143</v>
      </c>
      <c r="B109" s="3">
        <v>175764.13399999999</v>
      </c>
    </row>
    <row r="110" spans="1:4" x14ac:dyDescent="0.25">
      <c r="A110" s="3" t="s">
        <v>142</v>
      </c>
      <c r="B110" s="3">
        <v>178437.027</v>
      </c>
      <c r="D110" s="3">
        <f>AVERAGE(B108:B110)</f>
        <v>176167.29533333331</v>
      </c>
    </row>
    <row r="111" spans="1:4" x14ac:dyDescent="0.25">
      <c r="A111" s="3" t="s">
        <v>141</v>
      </c>
      <c r="B111" s="3">
        <v>178919.03099999999</v>
      </c>
    </row>
    <row r="112" spans="1:4" x14ac:dyDescent="0.25">
      <c r="A112" s="3" t="s">
        <v>140</v>
      </c>
      <c r="B112" s="3">
        <v>179135.28599999999</v>
      </c>
    </row>
    <row r="113" spans="1:4" x14ac:dyDescent="0.25">
      <c r="A113" s="3" t="s">
        <v>139</v>
      </c>
      <c r="B113" s="3">
        <v>180534.799</v>
      </c>
      <c r="D113" s="3">
        <f>AVERAGE(B111:B113)</f>
        <v>179529.70533333332</v>
      </c>
    </row>
    <row r="114" spans="1:4" x14ac:dyDescent="0.25">
      <c r="A114" s="3" t="s">
        <v>138</v>
      </c>
      <c r="B114" s="3">
        <v>181528.342</v>
      </c>
    </row>
    <row r="115" spans="1:4" x14ac:dyDescent="0.25">
      <c r="A115" s="3" t="s">
        <v>137</v>
      </c>
      <c r="B115" s="3">
        <v>183034.39499999999</v>
      </c>
    </row>
    <row r="116" spans="1:4" x14ac:dyDescent="0.25">
      <c r="A116" s="3" t="s">
        <v>136</v>
      </c>
      <c r="B116" s="3">
        <v>184726.52100000001</v>
      </c>
      <c r="D116" s="3">
        <f>AVERAGE(B114:B116)</f>
        <v>183096.4193333333</v>
      </c>
    </row>
    <row r="117" spans="1:4" x14ac:dyDescent="0.25">
      <c r="A117" s="3" t="s">
        <v>135</v>
      </c>
      <c r="B117" s="3">
        <v>185920.299</v>
      </c>
    </row>
    <row r="118" spans="1:4" x14ac:dyDescent="0.25">
      <c r="A118" s="3" t="s">
        <v>134</v>
      </c>
      <c r="B118" s="3">
        <v>187795.272</v>
      </c>
    </row>
    <row r="119" spans="1:4" x14ac:dyDescent="0.25">
      <c r="A119" s="3" t="s">
        <v>133</v>
      </c>
      <c r="B119" s="3">
        <v>189257.82699999999</v>
      </c>
      <c r="D119" s="3">
        <f>AVERAGE(B117:B119)</f>
        <v>187657.79933333336</v>
      </c>
    </row>
    <row r="120" spans="1:4" x14ac:dyDescent="0.25">
      <c r="A120" s="3" t="s">
        <v>132</v>
      </c>
      <c r="B120" s="3">
        <v>192661.38099999999</v>
      </c>
    </row>
    <row r="121" spans="1:4" x14ac:dyDescent="0.25">
      <c r="A121" s="3" t="s">
        <v>131</v>
      </c>
      <c r="B121" s="3">
        <v>194193.554</v>
      </c>
    </row>
    <row r="122" spans="1:4" x14ac:dyDescent="0.25">
      <c r="A122" s="3" t="s">
        <v>130</v>
      </c>
      <c r="B122" s="3">
        <v>195667.71900000001</v>
      </c>
      <c r="D122" s="3">
        <f>AVERAGE(B120:B122)</f>
        <v>194174.21799999999</v>
      </c>
    </row>
    <row r="123" spans="1:4" x14ac:dyDescent="0.25">
      <c r="A123" s="3" t="s">
        <v>129</v>
      </c>
      <c r="B123" s="3">
        <v>195177.054</v>
      </c>
    </row>
    <row r="124" spans="1:4" x14ac:dyDescent="0.25">
      <c r="A124" s="3" t="s">
        <v>128</v>
      </c>
      <c r="B124" s="3">
        <v>197285.41099999999</v>
      </c>
    </row>
    <row r="125" spans="1:4" x14ac:dyDescent="0.25">
      <c r="A125" s="3" t="s">
        <v>127</v>
      </c>
      <c r="B125" s="3">
        <v>199904.21299999999</v>
      </c>
      <c r="D125" s="3">
        <f>AVERAGE(B123:B125)</f>
        <v>197455.55933333331</v>
      </c>
    </row>
    <row r="126" spans="1:4" x14ac:dyDescent="0.25">
      <c r="A126" s="3" t="s">
        <v>126</v>
      </c>
      <c r="B126" s="3">
        <v>202411.48199999999</v>
      </c>
    </row>
    <row r="127" spans="1:4" x14ac:dyDescent="0.25">
      <c r="A127" s="3" t="s">
        <v>125</v>
      </c>
      <c r="B127" s="3">
        <v>224277.77100000001</v>
      </c>
    </row>
    <row r="128" spans="1:4" x14ac:dyDescent="0.25">
      <c r="A128" s="3" t="s">
        <v>124</v>
      </c>
      <c r="B128" s="3">
        <v>227785.27100000001</v>
      </c>
      <c r="D128" s="3">
        <f>AVERAGE(B126:B128)</f>
        <v>218158.17466666666</v>
      </c>
    </row>
    <row r="129" spans="1:4" x14ac:dyDescent="0.25">
      <c r="A129" s="3" t="s">
        <v>123</v>
      </c>
      <c r="B129" s="3">
        <v>233411.04699999999</v>
      </c>
    </row>
    <row r="130" spans="1:4" x14ac:dyDescent="0.25">
      <c r="A130" s="3" t="s">
        <v>122</v>
      </c>
      <c r="B130" s="3">
        <v>239026.228</v>
      </c>
    </row>
    <row r="131" spans="1:4" x14ac:dyDescent="0.25">
      <c r="A131" s="3" t="s">
        <v>121</v>
      </c>
      <c r="B131" s="3">
        <v>240776.57500000001</v>
      </c>
      <c r="D131" s="3">
        <f>AVERAGE(B129:B131)</f>
        <v>237737.95000000004</v>
      </c>
    </row>
    <row r="132" spans="1:4" x14ac:dyDescent="0.25">
      <c r="A132" s="3" t="s">
        <v>120</v>
      </c>
      <c r="B132" s="3">
        <v>240261.39199999999</v>
      </c>
    </row>
    <row r="133" spans="1:4" x14ac:dyDescent="0.25">
      <c r="A133" s="3" t="s">
        <v>119</v>
      </c>
      <c r="B133" s="3">
        <v>242130.68900000001</v>
      </c>
    </row>
    <row r="134" spans="1:4" x14ac:dyDescent="0.25">
      <c r="A134" s="3" t="s">
        <v>118</v>
      </c>
      <c r="B134" s="3">
        <v>240580.84599999999</v>
      </c>
      <c r="D134" s="3">
        <f>AVERAGE(B132:B134)</f>
        <v>240990.97566666667</v>
      </c>
    </row>
    <row r="135" spans="1:4" x14ac:dyDescent="0.25">
      <c r="A135" s="3" t="s">
        <v>117</v>
      </c>
      <c r="B135" s="3">
        <v>233904.64499999999</v>
      </c>
    </row>
    <row r="136" spans="1:4" x14ac:dyDescent="0.25">
      <c r="A136" s="3" t="s">
        <v>116</v>
      </c>
      <c r="B136" s="3">
        <v>238125.71400000001</v>
      </c>
    </row>
    <row r="137" spans="1:4" x14ac:dyDescent="0.25">
      <c r="A137" s="3" t="s">
        <v>115</v>
      </c>
      <c r="B137" s="3">
        <v>240771.97899999999</v>
      </c>
      <c r="D137" s="3">
        <f>AVERAGE(B135:B137)</f>
        <v>237600.77933333334</v>
      </c>
    </row>
    <row r="138" spans="1:4" x14ac:dyDescent="0.25">
      <c r="A138" s="3" t="s">
        <v>114</v>
      </c>
      <c r="B138" s="3">
        <v>242645.92600000001</v>
      </c>
    </row>
    <row r="139" spans="1:4" x14ac:dyDescent="0.25">
      <c r="A139" s="3" t="s">
        <v>113</v>
      </c>
      <c r="B139" s="3">
        <v>244304.038</v>
      </c>
    </row>
    <row r="140" spans="1:4" x14ac:dyDescent="0.25">
      <c r="A140" s="3" t="s">
        <v>112</v>
      </c>
      <c r="B140" s="3">
        <v>245282.72399999999</v>
      </c>
      <c r="D140" s="3">
        <f>AVERAGE(B138:B140)</f>
        <v>244077.56266666669</v>
      </c>
    </row>
    <row r="141" spans="1:4" x14ac:dyDescent="0.25">
      <c r="A141" s="3" t="s">
        <v>111</v>
      </c>
      <c r="B141" s="3">
        <v>247902.02100000001</v>
      </c>
    </row>
    <row r="142" spans="1:4" x14ac:dyDescent="0.25">
      <c r="A142" s="3" t="s">
        <v>110</v>
      </c>
      <c r="B142" s="3">
        <v>248698.36300000001</v>
      </c>
    </row>
    <row r="143" spans="1:4" x14ac:dyDescent="0.25">
      <c r="A143" s="3" t="s">
        <v>109</v>
      </c>
      <c r="B143" s="3">
        <v>251350.63200000001</v>
      </c>
      <c r="D143" s="3">
        <f>AVERAGE(B141:B143)</f>
        <v>249317.00533333336</v>
      </c>
    </row>
    <row r="144" spans="1:4" x14ac:dyDescent="0.25">
      <c r="A144" s="3" t="s">
        <v>108</v>
      </c>
      <c r="B144" s="3">
        <v>252991.63</v>
      </c>
    </row>
    <row r="145" spans="1:4" x14ac:dyDescent="0.25">
      <c r="A145" s="3" t="s">
        <v>107</v>
      </c>
      <c r="B145" s="3">
        <v>255008.50200000001</v>
      </c>
    </row>
    <row r="146" spans="1:4" x14ac:dyDescent="0.25">
      <c r="A146" s="3" t="s">
        <v>106</v>
      </c>
      <c r="B146" s="3">
        <v>254828.63500000001</v>
      </c>
      <c r="D146" s="3">
        <f>AVERAGE(B144:B146)</f>
        <v>254276.25566666666</v>
      </c>
    </row>
    <row r="147" spans="1:4" x14ac:dyDescent="0.25">
      <c r="A147" s="3" t="s">
        <v>105</v>
      </c>
      <c r="B147" s="3">
        <v>253989.2</v>
      </c>
    </row>
    <row r="148" spans="1:4" x14ac:dyDescent="0.25">
      <c r="A148" s="3" t="s">
        <v>104</v>
      </c>
      <c r="B148" s="3">
        <v>256469.777</v>
      </c>
    </row>
    <row r="149" spans="1:4" x14ac:dyDescent="0.25">
      <c r="A149" s="3" t="s">
        <v>103</v>
      </c>
      <c r="B149" s="3">
        <v>258822.274</v>
      </c>
      <c r="D149" s="3">
        <f>AVERAGE(B147:B149)</f>
        <v>256427.08366666667</v>
      </c>
    </row>
    <row r="150" spans="1:4" x14ac:dyDescent="0.25">
      <c r="A150" s="3" t="s">
        <v>102</v>
      </c>
      <c r="B150" s="3">
        <v>258483.201</v>
      </c>
    </row>
    <row r="151" spans="1:4" x14ac:dyDescent="0.25">
      <c r="A151" s="3" t="s">
        <v>101</v>
      </c>
      <c r="B151" s="3">
        <v>258848.889</v>
      </c>
    </row>
    <row r="152" spans="1:4" x14ac:dyDescent="0.25">
      <c r="A152" s="3" t="s">
        <v>100</v>
      </c>
      <c r="B152" s="3">
        <v>259362.52799999999</v>
      </c>
      <c r="D152" s="3">
        <f>AVERAGE(B150:B152)</f>
        <v>258898.20600000001</v>
      </c>
    </row>
    <row r="153" spans="1:4" x14ac:dyDescent="0.25">
      <c r="A153" s="3" t="s">
        <v>99</v>
      </c>
      <c r="B153" s="3">
        <v>259380.826</v>
      </c>
    </row>
    <row r="154" spans="1:4" x14ac:dyDescent="0.25">
      <c r="A154" s="3" t="s">
        <v>98</v>
      </c>
      <c r="B154" s="3">
        <v>257768.32800000001</v>
      </c>
    </row>
    <row r="155" spans="1:4" x14ac:dyDescent="0.25">
      <c r="A155" s="3" t="s">
        <v>97</v>
      </c>
      <c r="B155" s="3">
        <v>256882.41</v>
      </c>
      <c r="D155" s="3">
        <f>AVERAGE(B153:B155)</f>
        <v>258010.52133333334</v>
      </c>
    </row>
    <row r="156" spans="1:4" x14ac:dyDescent="0.25">
      <c r="A156" s="3" t="s">
        <v>96</v>
      </c>
      <c r="B156" s="3">
        <v>256984.51800000001</v>
      </c>
    </row>
    <row r="157" spans="1:4" x14ac:dyDescent="0.25">
      <c r="A157" s="3" t="s">
        <v>95</v>
      </c>
      <c r="B157" s="3">
        <v>257670.76199999999</v>
      </c>
    </row>
    <row r="158" spans="1:4" x14ac:dyDescent="0.25">
      <c r="A158" s="3" t="s">
        <v>94</v>
      </c>
      <c r="B158" s="3">
        <v>255909.212</v>
      </c>
      <c r="D158" s="3">
        <f>AVERAGE(B156:B158)</f>
        <v>256854.8306666667</v>
      </c>
    </row>
    <row r="159" spans="1:4" x14ac:dyDescent="0.25">
      <c r="A159" s="3" t="s">
        <v>93</v>
      </c>
      <c r="B159" s="3">
        <v>253202.86900000001</v>
      </c>
    </row>
    <row r="160" spans="1:4" x14ac:dyDescent="0.25">
      <c r="A160" s="3" t="s">
        <v>92</v>
      </c>
      <c r="B160" s="3">
        <v>251270.59099999999</v>
      </c>
    </row>
    <row r="161" spans="1:4" x14ac:dyDescent="0.25">
      <c r="A161" s="3" t="s">
        <v>91</v>
      </c>
      <c r="B161" s="3">
        <v>253026.48699999999</v>
      </c>
      <c r="D161" s="3">
        <f>AVERAGE(B159:B161)</f>
        <v>252499.98233333332</v>
      </c>
    </row>
    <row r="162" spans="1:4" x14ac:dyDescent="0.25">
      <c r="A162" s="3" t="s">
        <v>90</v>
      </c>
      <c r="B162" s="3">
        <v>253594.12599999999</v>
      </c>
    </row>
    <row r="163" spans="1:4" x14ac:dyDescent="0.25">
      <c r="A163" s="3" t="s">
        <v>89</v>
      </c>
      <c r="B163" s="3">
        <v>252498.02900000001</v>
      </c>
    </row>
    <row r="164" spans="1:4" x14ac:dyDescent="0.25">
      <c r="A164" s="3" t="s">
        <v>88</v>
      </c>
      <c r="B164" s="3">
        <v>251517.28599999999</v>
      </c>
      <c r="D164" s="3">
        <f>AVERAGE(B162:B164)</f>
        <v>252536.48033333334</v>
      </c>
    </row>
    <row r="165" spans="1:4" x14ac:dyDescent="0.25">
      <c r="A165" s="3" t="s">
        <v>87</v>
      </c>
      <c r="B165" s="3">
        <v>252190.21100000001</v>
      </c>
    </row>
    <row r="166" spans="1:4" x14ac:dyDescent="0.25">
      <c r="A166" s="3" t="s">
        <v>86</v>
      </c>
      <c r="B166" s="3">
        <v>251621.49</v>
      </c>
    </row>
    <row r="167" spans="1:4" x14ac:dyDescent="0.25">
      <c r="A167" s="3" t="s">
        <v>85</v>
      </c>
      <c r="B167" s="3">
        <v>250399.83100000001</v>
      </c>
      <c r="D167" s="3">
        <f>AVERAGE(B165:B167)</f>
        <v>251403.84400000001</v>
      </c>
    </row>
    <row r="168" spans="1:4" x14ac:dyDescent="0.25">
      <c r="A168" s="3" t="s">
        <v>84</v>
      </c>
      <c r="B168" s="3">
        <v>251507.94699999999</v>
      </c>
    </row>
    <row r="169" spans="1:4" x14ac:dyDescent="0.25">
      <c r="A169" s="3" t="s">
        <v>83</v>
      </c>
      <c r="B169" s="3">
        <v>251926.57199999999</v>
      </c>
    </row>
    <row r="170" spans="1:4" x14ac:dyDescent="0.25">
      <c r="A170" s="3" t="s">
        <v>82</v>
      </c>
      <c r="B170" s="3">
        <v>252096.40599999999</v>
      </c>
      <c r="D170" s="3">
        <f>AVERAGE(B168:B170)</f>
        <v>251843.64166666663</v>
      </c>
    </row>
    <row r="171" spans="1:4" x14ac:dyDescent="0.25">
      <c r="A171" s="3" t="s">
        <v>81</v>
      </c>
      <c r="B171" s="3">
        <v>248534.98300000001</v>
      </c>
    </row>
    <row r="172" spans="1:4" x14ac:dyDescent="0.25">
      <c r="A172" s="3" t="s">
        <v>80</v>
      </c>
      <c r="B172" s="3">
        <v>247301.736</v>
      </c>
    </row>
    <row r="173" spans="1:4" x14ac:dyDescent="0.25">
      <c r="A173" s="3" t="s">
        <v>79</v>
      </c>
      <c r="B173" s="3">
        <v>248671.027</v>
      </c>
      <c r="D173" s="3">
        <f>AVERAGE(B171:B173)</f>
        <v>248169.24866666668</v>
      </c>
    </row>
    <row r="174" spans="1:4" x14ac:dyDescent="0.25">
      <c r="A174" s="3" t="s">
        <v>78</v>
      </c>
      <c r="B174" s="3">
        <v>250421.66899999999</v>
      </c>
    </row>
    <row r="175" spans="1:4" x14ac:dyDescent="0.25">
      <c r="A175" s="3" t="s">
        <v>77</v>
      </c>
      <c r="B175" s="3">
        <v>251697.416</v>
      </c>
    </row>
    <row r="176" spans="1:4" x14ac:dyDescent="0.25">
      <c r="A176" s="3" t="s">
        <v>76</v>
      </c>
      <c r="B176" s="3">
        <v>252438.098</v>
      </c>
      <c r="D176" s="3">
        <f>AVERAGE(B174:B176)</f>
        <v>251519.06099999999</v>
      </c>
    </row>
    <row r="177" spans="1:4" x14ac:dyDescent="0.25">
      <c r="A177" s="3" t="s">
        <v>75</v>
      </c>
      <c r="B177" s="3">
        <v>250839.48800000001</v>
      </c>
    </row>
    <row r="178" spans="1:4" x14ac:dyDescent="0.25">
      <c r="A178" s="3" t="s">
        <v>74</v>
      </c>
      <c r="B178" s="3">
        <v>251912.79699999999</v>
      </c>
    </row>
    <row r="179" spans="1:4" x14ac:dyDescent="0.25">
      <c r="A179" s="3" t="s">
        <v>73</v>
      </c>
      <c r="B179" s="3">
        <v>251233.64</v>
      </c>
      <c r="D179" s="3">
        <f>AVERAGE(B177:B179)</f>
        <v>251328.64166666669</v>
      </c>
    </row>
    <row r="180" spans="1:4" x14ac:dyDescent="0.25">
      <c r="A180" s="3" t="s">
        <v>72</v>
      </c>
      <c r="B180" s="3">
        <v>252291.155</v>
      </c>
    </row>
    <row r="181" spans="1:4" x14ac:dyDescent="0.25">
      <c r="A181" s="3" t="s">
        <v>71</v>
      </c>
      <c r="B181" s="3">
        <v>253840.74299999999</v>
      </c>
    </row>
    <row r="182" spans="1:4" x14ac:dyDescent="0.25">
      <c r="A182" s="3" t="s">
        <v>70</v>
      </c>
      <c r="B182" s="3">
        <v>253193.11900000001</v>
      </c>
      <c r="D182" s="3">
        <f>AVERAGE(B180:B182)</f>
        <v>253108.33900000001</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31C9-EFB5-4975-AFC2-4E689D6239B3}">
  <dimension ref="A1:D75"/>
  <sheetViews>
    <sheetView topLeftCell="A63" zoomScale="120" zoomScaleNormal="120" workbookViewId="0">
      <selection activeCell="O74" sqref="O74"/>
    </sheetView>
  </sheetViews>
  <sheetFormatPr baseColWidth="10" defaultColWidth="9.140625" defaultRowHeight="15" x14ac:dyDescent="0.25"/>
  <cols>
    <col min="1" max="16384" width="9.140625" style="3"/>
  </cols>
  <sheetData>
    <row r="1" spans="1:4" x14ac:dyDescent="0.25">
      <c r="B1" s="3" t="s">
        <v>7</v>
      </c>
    </row>
    <row r="2" spans="1:4" x14ac:dyDescent="0.25">
      <c r="B2" s="3" t="s">
        <v>8</v>
      </c>
    </row>
    <row r="3" spans="1:4" x14ac:dyDescent="0.25">
      <c r="A3" s="3" t="s">
        <v>9</v>
      </c>
      <c r="B3" s="3">
        <v>87578.688233024805</v>
      </c>
    </row>
    <row r="4" spans="1:4" x14ac:dyDescent="0.25">
      <c r="A4" s="3" t="s">
        <v>10</v>
      </c>
      <c r="B4" s="3">
        <v>96843.879274328094</v>
      </c>
    </row>
    <row r="5" spans="1:4" x14ac:dyDescent="0.25">
      <c r="A5" s="3" t="s">
        <v>11</v>
      </c>
      <c r="B5" s="3">
        <v>96741.944733926503</v>
      </c>
    </row>
    <row r="6" spans="1:4" s="5" customFormat="1" x14ac:dyDescent="0.25">
      <c r="A6" s="5" t="s">
        <v>12</v>
      </c>
      <c r="B6" s="5">
        <v>100904.520300736</v>
      </c>
      <c r="D6" s="3"/>
    </row>
    <row r="7" spans="1:4" x14ac:dyDescent="0.25">
      <c r="A7" s="3" t="s">
        <v>13</v>
      </c>
      <c r="B7" s="3">
        <v>94947.563581722905</v>
      </c>
    </row>
    <row r="8" spans="1:4" x14ac:dyDescent="0.25">
      <c r="A8" s="3" t="s">
        <v>14</v>
      </c>
      <c r="B8" s="3">
        <v>101962.283589158</v>
      </c>
    </row>
    <row r="9" spans="1:4" x14ac:dyDescent="0.25">
      <c r="A9" s="3" t="s">
        <v>15</v>
      </c>
      <c r="B9" s="3">
        <v>102364.289862155</v>
      </c>
    </row>
    <row r="10" spans="1:4" s="5" customFormat="1" x14ac:dyDescent="0.25">
      <c r="A10" s="5" t="s">
        <v>16</v>
      </c>
      <c r="B10" s="5">
        <v>106972.6143023</v>
      </c>
      <c r="D10" s="3"/>
    </row>
    <row r="11" spans="1:4" x14ac:dyDescent="0.25">
      <c r="A11" s="3" t="s">
        <v>17</v>
      </c>
      <c r="B11" s="3">
        <v>100749.44414052401</v>
      </c>
    </row>
    <row r="12" spans="1:4" x14ac:dyDescent="0.25">
      <c r="A12" s="3" t="s">
        <v>18</v>
      </c>
      <c r="B12" s="3">
        <v>107971.584497394</v>
      </c>
    </row>
    <row r="13" spans="1:4" x14ac:dyDescent="0.25">
      <c r="A13" s="3" t="s">
        <v>19</v>
      </c>
      <c r="B13" s="3">
        <v>109550.82835097901</v>
      </c>
    </row>
    <row r="14" spans="1:4" x14ac:dyDescent="0.25">
      <c r="A14" s="3" t="s">
        <v>20</v>
      </c>
      <c r="B14" s="3">
        <v>112917.58164687001</v>
      </c>
    </row>
    <row r="15" spans="1:4" x14ac:dyDescent="0.25">
      <c r="A15" s="3" t="s">
        <v>21</v>
      </c>
      <c r="B15" s="3">
        <v>105765.24098878101</v>
      </c>
    </row>
    <row r="16" spans="1:4" x14ac:dyDescent="0.25">
      <c r="A16" s="3" t="s">
        <v>22</v>
      </c>
      <c r="B16" s="3">
        <v>114735.405040294</v>
      </c>
    </row>
    <row r="17" spans="1:2" x14ac:dyDescent="0.25">
      <c r="A17" s="3" t="s">
        <v>23</v>
      </c>
      <c r="B17" s="3">
        <v>115276.72312001001</v>
      </c>
    </row>
    <row r="18" spans="1:2" x14ac:dyDescent="0.25">
      <c r="A18" s="3" t="s">
        <v>24</v>
      </c>
      <c r="B18" s="3">
        <v>120645.674099474</v>
      </c>
    </row>
    <row r="19" spans="1:2" x14ac:dyDescent="0.25">
      <c r="A19" s="3" t="s">
        <v>25</v>
      </c>
      <c r="B19" s="3">
        <v>111006.15700438101</v>
      </c>
    </row>
    <row r="20" spans="1:2" x14ac:dyDescent="0.25">
      <c r="A20" s="3" t="s">
        <v>26</v>
      </c>
      <c r="B20" s="3">
        <v>116983.334304624</v>
      </c>
    </row>
    <row r="21" spans="1:2" x14ac:dyDescent="0.25">
      <c r="A21" s="3" t="s">
        <v>27</v>
      </c>
      <c r="B21" s="3">
        <v>117378.26423999001</v>
      </c>
    </row>
    <row r="22" spans="1:2" x14ac:dyDescent="0.25">
      <c r="A22" s="3" t="s">
        <v>28</v>
      </c>
      <c r="B22" s="3">
        <v>121935.18421714701</v>
      </c>
    </row>
    <row r="23" spans="1:2" x14ac:dyDescent="0.25">
      <c r="A23" s="3" t="s">
        <v>29</v>
      </c>
      <c r="B23" s="3">
        <v>113149.4203712</v>
      </c>
    </row>
    <row r="24" spans="1:2" x14ac:dyDescent="0.25">
      <c r="A24" s="3" t="s">
        <v>30</v>
      </c>
      <c r="B24" s="3">
        <v>120698.861748585</v>
      </c>
    </row>
    <row r="25" spans="1:2" x14ac:dyDescent="0.25">
      <c r="A25" s="3" t="s">
        <v>31</v>
      </c>
      <c r="B25" s="3">
        <v>121082.48595032599</v>
      </c>
    </row>
    <row r="26" spans="1:2" x14ac:dyDescent="0.25">
      <c r="A26" s="3" t="s">
        <v>32</v>
      </c>
      <c r="B26" s="3">
        <v>127564.615886732</v>
      </c>
    </row>
    <row r="27" spans="1:2" x14ac:dyDescent="0.25">
      <c r="A27" s="3" t="s">
        <v>33</v>
      </c>
      <c r="B27" s="3">
        <v>118217.24559821399</v>
      </c>
    </row>
    <row r="28" spans="1:2" x14ac:dyDescent="0.25">
      <c r="A28" s="3" t="s">
        <v>34</v>
      </c>
      <c r="B28" s="3">
        <v>125207.210340167</v>
      </c>
    </row>
    <row r="29" spans="1:2" x14ac:dyDescent="0.25">
      <c r="A29" s="3" t="s">
        <v>35</v>
      </c>
      <c r="B29" s="3">
        <v>126666.49622835001</v>
      </c>
    </row>
    <row r="30" spans="1:2" x14ac:dyDescent="0.25">
      <c r="A30" s="3" t="s">
        <v>36</v>
      </c>
      <c r="B30" s="3">
        <v>131480.70798639799</v>
      </c>
    </row>
    <row r="31" spans="1:2" x14ac:dyDescent="0.25">
      <c r="A31" s="3" t="s">
        <v>37</v>
      </c>
      <c r="B31" s="3">
        <v>120917.358472768</v>
      </c>
    </row>
    <row r="32" spans="1:2" x14ac:dyDescent="0.25">
      <c r="A32" s="3" t="s">
        <v>38</v>
      </c>
      <c r="B32" s="3">
        <v>128522.91161441299</v>
      </c>
    </row>
    <row r="33" spans="1:2" x14ac:dyDescent="0.25">
      <c r="A33" s="3" t="s">
        <v>39</v>
      </c>
      <c r="B33" s="3">
        <v>130231.55172207901</v>
      </c>
    </row>
    <row r="34" spans="1:2" x14ac:dyDescent="0.25">
      <c r="A34" s="3" t="s">
        <v>40</v>
      </c>
      <c r="B34" s="3">
        <v>134533.27709485599</v>
      </c>
    </row>
    <row r="35" spans="1:2" x14ac:dyDescent="0.25">
      <c r="A35" s="3" t="s">
        <v>41</v>
      </c>
      <c r="B35" s="3">
        <v>124747.10682904</v>
      </c>
    </row>
    <row r="36" spans="1:2" x14ac:dyDescent="0.25">
      <c r="A36" s="3" t="s">
        <v>42</v>
      </c>
      <c r="B36" s="3">
        <v>135716.38025113</v>
      </c>
    </row>
    <row r="37" spans="1:2" x14ac:dyDescent="0.25">
      <c r="A37" s="3" t="s">
        <v>43</v>
      </c>
      <c r="B37" s="3">
        <v>133407.82504362401</v>
      </c>
    </row>
    <row r="38" spans="1:2" x14ac:dyDescent="0.25">
      <c r="A38" s="3" t="s">
        <v>44</v>
      </c>
      <c r="B38" s="3">
        <v>140744.50333539501</v>
      </c>
    </row>
    <row r="39" spans="1:2" x14ac:dyDescent="0.25">
      <c r="A39" s="3" t="s">
        <v>45</v>
      </c>
      <c r="B39" s="3">
        <v>127738.76847079401</v>
      </c>
    </row>
    <row r="40" spans="1:2" x14ac:dyDescent="0.25">
      <c r="A40" s="3" t="s">
        <v>46</v>
      </c>
      <c r="B40" s="3">
        <v>137275.801035293</v>
      </c>
    </row>
    <row r="41" spans="1:2" x14ac:dyDescent="0.25">
      <c r="A41" s="3" t="s">
        <v>47</v>
      </c>
      <c r="B41" s="3">
        <v>137929.707859591</v>
      </c>
    </row>
    <row r="42" spans="1:2" x14ac:dyDescent="0.25">
      <c r="A42" s="3" t="s">
        <v>48</v>
      </c>
      <c r="B42" s="3">
        <v>143649.17681700599</v>
      </c>
    </row>
    <row r="43" spans="1:2" x14ac:dyDescent="0.25">
      <c r="A43" s="3" t="s">
        <v>49</v>
      </c>
      <c r="B43" s="3">
        <v>123183.486627733</v>
      </c>
    </row>
    <row r="44" spans="1:2" x14ac:dyDescent="0.25">
      <c r="A44" s="3" t="s">
        <v>50</v>
      </c>
      <c r="B44" s="3">
        <v>96028.496828261894</v>
      </c>
    </row>
    <row r="45" spans="1:2" x14ac:dyDescent="0.25">
      <c r="A45" s="3" t="s">
        <v>51</v>
      </c>
      <c r="B45" s="3">
        <v>125946.366206192</v>
      </c>
    </row>
    <row r="46" spans="1:2" x14ac:dyDescent="0.25">
      <c r="A46" s="3" t="s">
        <v>52</v>
      </c>
      <c r="B46" s="3">
        <v>141650.803661524</v>
      </c>
    </row>
    <row r="47" spans="1:2" x14ac:dyDescent="0.25">
      <c r="A47" s="3" t="s">
        <v>53</v>
      </c>
      <c r="B47" s="3">
        <v>128358.638336718</v>
      </c>
    </row>
    <row r="48" spans="1:2" x14ac:dyDescent="0.25">
      <c r="A48" s="3" t="s">
        <v>54</v>
      </c>
      <c r="B48" s="3">
        <v>136392.89377273299</v>
      </c>
    </row>
    <row r="49" spans="1:2" x14ac:dyDescent="0.25">
      <c r="A49" s="3" t="s">
        <v>55</v>
      </c>
      <c r="B49" s="3">
        <v>140657.11359792101</v>
      </c>
    </row>
    <row r="50" spans="1:2" x14ac:dyDescent="0.25">
      <c r="A50" s="3" t="s">
        <v>56</v>
      </c>
      <c r="B50" s="3">
        <v>146471.50810771901</v>
      </c>
    </row>
    <row r="51" spans="1:2" x14ac:dyDescent="0.25">
      <c r="A51" s="3" t="s">
        <v>57</v>
      </c>
      <c r="B51" s="3">
        <v>133345.788783514</v>
      </c>
    </row>
    <row r="52" spans="1:2" x14ac:dyDescent="0.25">
      <c r="A52" s="3" t="s">
        <v>58</v>
      </c>
      <c r="B52" s="3">
        <v>141036.723254107</v>
      </c>
    </row>
    <row r="53" spans="1:2" x14ac:dyDescent="0.25">
      <c r="A53" s="3" t="s">
        <v>59</v>
      </c>
      <c r="B53" s="3">
        <v>143542.80216168999</v>
      </c>
    </row>
    <row r="54" spans="1:2" x14ac:dyDescent="0.25">
      <c r="A54" s="3" t="s">
        <v>60</v>
      </c>
      <c r="B54" s="3">
        <v>149462.87166954999</v>
      </c>
    </row>
    <row r="55" spans="1:2" x14ac:dyDescent="0.25">
      <c r="A55" s="3" t="s">
        <v>61</v>
      </c>
      <c r="B55" s="3">
        <v>133199.101081865</v>
      </c>
    </row>
    <row r="56" spans="1:2" x14ac:dyDescent="0.25">
      <c r="A56" s="3" t="s">
        <v>62</v>
      </c>
      <c r="B56" s="3">
        <v>140427.20612333901</v>
      </c>
    </row>
    <row r="57" spans="1:2" x14ac:dyDescent="0.25">
      <c r="A57" s="3" t="s">
        <v>63</v>
      </c>
      <c r="B57" s="3">
        <v>142597.47099672799</v>
      </c>
    </row>
    <row r="58" spans="1:2" x14ac:dyDescent="0.25">
      <c r="A58" s="3" t="s">
        <v>64</v>
      </c>
      <c r="B58" s="3">
        <v>148877.412001905</v>
      </c>
    </row>
    <row r="59" spans="1:2" x14ac:dyDescent="0.25">
      <c r="A59" s="3" t="s">
        <v>65</v>
      </c>
      <c r="B59" s="3">
        <v>135026.24537566199</v>
      </c>
    </row>
    <row r="60" spans="1:2" x14ac:dyDescent="0.25">
      <c r="A60" s="3" t="s">
        <v>66</v>
      </c>
      <c r="B60" s="3">
        <v>145497.92528920801</v>
      </c>
    </row>
    <row r="61" spans="1:2" x14ac:dyDescent="0.25">
      <c r="A61" s="3" t="s">
        <v>67</v>
      </c>
      <c r="B61" s="3">
        <v>148092.023399903</v>
      </c>
    </row>
    <row r="62" spans="1:2" x14ac:dyDescent="0.25">
      <c r="A62" s="3" t="s">
        <v>68</v>
      </c>
      <c r="B62" s="3">
        <v>155150.116522667</v>
      </c>
    </row>
    <row r="75" spans="4:4" x14ac:dyDescent="0.25">
      <c r="D75" s="14"/>
    </row>
  </sheetData>
  <sheetProtection formatCells="0" formatColumns="0" formatRows="0" insertColumns="0" insertRows="0" insertHyperlinks="0" deleteColumns="0" deleteRows="0" sort="0" autoFilter="0" pivotTables="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8A2D2-4008-490D-A6B6-0A5CD5F4FEF6}">
  <dimension ref="A1:D182"/>
  <sheetViews>
    <sheetView workbookViewId="0">
      <selection activeCell="E13" sqref="E13"/>
    </sheetView>
  </sheetViews>
  <sheetFormatPr baseColWidth="10" defaultColWidth="9.140625" defaultRowHeight="15" x14ac:dyDescent="0.25"/>
  <cols>
    <col min="1" max="3" width="9.140625" style="8"/>
    <col min="4" max="4" width="9.140625" style="3"/>
    <col min="5" max="16384" width="9.140625" style="8"/>
  </cols>
  <sheetData>
    <row r="1" spans="1:4" x14ac:dyDescent="0.25">
      <c r="B1" s="8" t="s">
        <v>251</v>
      </c>
    </row>
    <row r="2" spans="1:4" x14ac:dyDescent="0.25">
      <c r="B2" s="8" t="s">
        <v>250</v>
      </c>
    </row>
    <row r="3" spans="1:4" x14ac:dyDescent="0.25">
      <c r="A3" s="8" t="s">
        <v>249</v>
      </c>
      <c r="B3" s="8">
        <v>1.25</v>
      </c>
    </row>
    <row r="4" spans="1:4" x14ac:dyDescent="0.25">
      <c r="A4" s="8" t="s">
        <v>248</v>
      </c>
      <c r="B4" s="8">
        <v>1.25</v>
      </c>
    </row>
    <row r="5" spans="1:4" x14ac:dyDescent="0.25">
      <c r="A5" s="8" t="s">
        <v>247</v>
      </c>
      <c r="B5" s="8">
        <v>1.25</v>
      </c>
    </row>
    <row r="6" spans="1:4" x14ac:dyDescent="0.25">
      <c r="A6" s="8" t="s">
        <v>246</v>
      </c>
      <c r="B6" s="8">
        <v>1.25</v>
      </c>
    </row>
    <row r="7" spans="1:4" x14ac:dyDescent="0.25">
      <c r="A7" s="8" t="s">
        <v>245</v>
      </c>
      <c r="B7" s="8">
        <v>1.5</v>
      </c>
    </row>
    <row r="8" spans="1:4" x14ac:dyDescent="0.25">
      <c r="A8" s="8" t="s">
        <v>244</v>
      </c>
      <c r="B8" s="8">
        <v>1.75</v>
      </c>
    </row>
    <row r="9" spans="1:4" x14ac:dyDescent="0.25">
      <c r="A9" s="8" t="s">
        <v>243</v>
      </c>
      <c r="B9" s="8">
        <v>2</v>
      </c>
    </row>
    <row r="10" spans="1:4" x14ac:dyDescent="0.25">
      <c r="A10" s="8" t="s">
        <v>242</v>
      </c>
      <c r="B10" s="8">
        <v>2.5</v>
      </c>
    </row>
    <row r="11" spans="1:4" x14ac:dyDescent="0.25">
      <c r="A11" s="8" t="s">
        <v>241</v>
      </c>
      <c r="B11" s="8">
        <v>3</v>
      </c>
    </row>
    <row r="12" spans="1:4" x14ac:dyDescent="0.25">
      <c r="A12" s="8" t="s">
        <v>240</v>
      </c>
      <c r="B12" s="8">
        <v>3</v>
      </c>
    </row>
    <row r="13" spans="1:4" x14ac:dyDescent="0.25">
      <c r="A13" s="8" t="s">
        <v>239</v>
      </c>
      <c r="B13" s="8">
        <v>3</v>
      </c>
    </row>
    <row r="14" spans="1:4" s="9" customFormat="1" x14ac:dyDescent="0.25">
      <c r="A14" s="9" t="s">
        <v>238</v>
      </c>
      <c r="B14" s="9">
        <v>3</v>
      </c>
      <c r="D14" s="3"/>
    </row>
    <row r="15" spans="1:4" x14ac:dyDescent="0.25">
      <c r="A15" s="8" t="s">
        <v>237</v>
      </c>
      <c r="B15" s="8">
        <v>3.25</v>
      </c>
    </row>
    <row r="16" spans="1:4" x14ac:dyDescent="0.25">
      <c r="A16" s="8" t="s">
        <v>236</v>
      </c>
      <c r="B16" s="8">
        <v>3.5</v>
      </c>
    </row>
    <row r="17" spans="1:4" x14ac:dyDescent="0.25">
      <c r="A17" s="8" t="s">
        <v>235</v>
      </c>
      <c r="B17" s="8">
        <v>3.75</v>
      </c>
    </row>
    <row r="18" spans="1:4" x14ac:dyDescent="0.25">
      <c r="A18" s="8" t="s">
        <v>234</v>
      </c>
      <c r="B18" s="8">
        <v>4</v>
      </c>
    </row>
    <row r="19" spans="1:4" x14ac:dyDescent="0.25">
      <c r="A19" s="8" t="s">
        <v>233</v>
      </c>
      <c r="B19" s="8">
        <v>4.25</v>
      </c>
    </row>
    <row r="20" spans="1:4" x14ac:dyDescent="0.25">
      <c r="A20" s="8" t="s">
        <v>232</v>
      </c>
      <c r="B20" s="8">
        <v>4.25</v>
      </c>
    </row>
    <row r="21" spans="1:4" x14ac:dyDescent="0.25">
      <c r="A21" s="8" t="s">
        <v>231</v>
      </c>
      <c r="B21" s="8">
        <v>4.25</v>
      </c>
    </row>
    <row r="22" spans="1:4" x14ac:dyDescent="0.25">
      <c r="A22" s="8" t="s">
        <v>230</v>
      </c>
      <c r="B22" s="8">
        <v>4.25</v>
      </c>
    </row>
    <row r="23" spans="1:4" x14ac:dyDescent="0.25">
      <c r="A23" s="8" t="s">
        <v>229</v>
      </c>
      <c r="B23" s="8">
        <v>4.25</v>
      </c>
    </row>
    <row r="24" spans="1:4" x14ac:dyDescent="0.25">
      <c r="A24" s="8" t="s">
        <v>228</v>
      </c>
      <c r="B24" s="8">
        <v>4.25</v>
      </c>
    </row>
    <row r="25" spans="1:4" x14ac:dyDescent="0.25">
      <c r="A25" s="8" t="s">
        <v>227</v>
      </c>
      <c r="B25" s="8">
        <v>4.25</v>
      </c>
    </row>
    <row r="26" spans="1:4" s="9" customFormat="1" x14ac:dyDescent="0.25">
      <c r="A26" s="9" t="s">
        <v>226</v>
      </c>
      <c r="B26" s="9">
        <v>4.25</v>
      </c>
      <c r="D26" s="3"/>
    </row>
    <row r="27" spans="1:4" x14ac:dyDescent="0.25">
      <c r="A27" s="8" t="s">
        <v>225</v>
      </c>
      <c r="B27" s="8">
        <v>4.25</v>
      </c>
    </row>
    <row r="28" spans="1:4" x14ac:dyDescent="0.25">
      <c r="A28" s="8" t="s">
        <v>224</v>
      </c>
      <c r="B28" s="8">
        <v>4.25</v>
      </c>
    </row>
    <row r="29" spans="1:4" x14ac:dyDescent="0.25">
      <c r="A29" s="8" t="s">
        <v>223</v>
      </c>
      <c r="B29" s="8">
        <v>4.25</v>
      </c>
    </row>
    <row r="30" spans="1:4" x14ac:dyDescent="0.25">
      <c r="A30" s="8" t="s">
        <v>222</v>
      </c>
      <c r="B30" s="8">
        <v>4.25</v>
      </c>
    </row>
    <row r="31" spans="1:4" x14ac:dyDescent="0.25">
      <c r="A31" s="8" t="s">
        <v>221</v>
      </c>
      <c r="B31" s="8">
        <v>4.25</v>
      </c>
    </row>
    <row r="32" spans="1:4" x14ac:dyDescent="0.25">
      <c r="A32" s="8" t="s">
        <v>220</v>
      </c>
      <c r="B32" s="8">
        <v>4.25</v>
      </c>
    </row>
    <row r="33" spans="1:4" x14ac:dyDescent="0.25">
      <c r="A33" s="8" t="s">
        <v>219</v>
      </c>
      <c r="B33" s="8">
        <v>4.25</v>
      </c>
    </row>
    <row r="34" spans="1:4" x14ac:dyDescent="0.25">
      <c r="A34" s="8" t="s">
        <v>218</v>
      </c>
      <c r="B34" s="8">
        <v>4.25</v>
      </c>
    </row>
    <row r="35" spans="1:4" x14ac:dyDescent="0.25">
      <c r="A35" s="8" t="s">
        <v>217</v>
      </c>
      <c r="B35" s="8">
        <v>4.25</v>
      </c>
    </row>
    <row r="36" spans="1:4" x14ac:dyDescent="0.25">
      <c r="A36" s="8" t="s">
        <v>216</v>
      </c>
      <c r="B36" s="8">
        <v>4.25</v>
      </c>
    </row>
    <row r="37" spans="1:4" x14ac:dyDescent="0.25">
      <c r="A37" s="8" t="s">
        <v>215</v>
      </c>
      <c r="B37" s="8">
        <v>4.25</v>
      </c>
    </row>
    <row r="38" spans="1:4" s="9" customFormat="1" x14ac:dyDescent="0.25">
      <c r="A38" s="9" t="s">
        <v>214</v>
      </c>
      <c r="B38" s="9">
        <v>4.25</v>
      </c>
      <c r="D38" s="3"/>
    </row>
    <row r="39" spans="1:4" x14ac:dyDescent="0.25">
      <c r="A39" s="8" t="s">
        <v>213</v>
      </c>
      <c r="B39" s="8">
        <v>4.25</v>
      </c>
    </row>
    <row r="40" spans="1:4" x14ac:dyDescent="0.25">
      <c r="A40" s="8" t="s">
        <v>212</v>
      </c>
      <c r="B40" s="8">
        <v>4.25</v>
      </c>
    </row>
    <row r="41" spans="1:4" x14ac:dyDescent="0.25">
      <c r="A41" s="8" t="s">
        <v>211</v>
      </c>
      <c r="B41" s="8">
        <v>4.25</v>
      </c>
    </row>
    <row r="42" spans="1:4" x14ac:dyDescent="0.25">
      <c r="A42" s="8" t="s">
        <v>210</v>
      </c>
      <c r="B42" s="8">
        <v>4.25</v>
      </c>
    </row>
    <row r="43" spans="1:4" x14ac:dyDescent="0.25">
      <c r="A43" s="8" t="s">
        <v>209</v>
      </c>
      <c r="B43" s="8">
        <v>4.25</v>
      </c>
    </row>
    <row r="44" spans="1:4" x14ac:dyDescent="0.25">
      <c r="A44" s="8" t="s">
        <v>208</v>
      </c>
      <c r="B44" s="8">
        <v>4.25</v>
      </c>
    </row>
    <row r="45" spans="1:4" x14ac:dyDescent="0.25">
      <c r="A45" s="8" t="s">
        <v>207</v>
      </c>
      <c r="B45" s="8">
        <v>4.25</v>
      </c>
    </row>
    <row r="46" spans="1:4" x14ac:dyDescent="0.25">
      <c r="A46" s="8" t="s">
        <v>206</v>
      </c>
      <c r="B46" s="8">
        <v>4.25</v>
      </c>
    </row>
    <row r="47" spans="1:4" x14ac:dyDescent="0.25">
      <c r="A47" s="8" t="s">
        <v>205</v>
      </c>
      <c r="B47" s="8">
        <v>4.25</v>
      </c>
    </row>
    <row r="48" spans="1:4" x14ac:dyDescent="0.25">
      <c r="A48" s="8" t="s">
        <v>204</v>
      </c>
      <c r="B48" s="8">
        <v>4.25</v>
      </c>
    </row>
    <row r="49" spans="1:4" x14ac:dyDescent="0.25">
      <c r="A49" s="8" t="s">
        <v>203</v>
      </c>
      <c r="B49" s="8">
        <v>4</v>
      </c>
    </row>
    <row r="50" spans="1:4" s="9" customFormat="1" x14ac:dyDescent="0.25">
      <c r="A50" s="9" t="s">
        <v>202</v>
      </c>
      <c r="B50" s="9">
        <v>4</v>
      </c>
      <c r="D50" s="3"/>
    </row>
    <row r="51" spans="1:4" x14ac:dyDescent="0.25">
      <c r="A51" s="8" t="s">
        <v>201</v>
      </c>
      <c r="B51" s="8">
        <v>4</v>
      </c>
    </row>
    <row r="52" spans="1:4" x14ac:dyDescent="0.25">
      <c r="A52" s="8" t="s">
        <v>200</v>
      </c>
      <c r="B52" s="8">
        <v>4</v>
      </c>
    </row>
    <row r="53" spans="1:4" x14ac:dyDescent="0.25">
      <c r="A53" s="8" t="s">
        <v>199</v>
      </c>
      <c r="B53" s="8">
        <v>4</v>
      </c>
    </row>
    <row r="54" spans="1:4" x14ac:dyDescent="0.25">
      <c r="A54" s="8" t="s">
        <v>198</v>
      </c>
      <c r="B54" s="8">
        <v>4</v>
      </c>
    </row>
    <row r="55" spans="1:4" x14ac:dyDescent="0.25">
      <c r="A55" s="8" t="s">
        <v>197</v>
      </c>
      <c r="B55" s="8">
        <v>4</v>
      </c>
    </row>
    <row r="56" spans="1:4" x14ac:dyDescent="0.25">
      <c r="A56" s="8" t="s">
        <v>196</v>
      </c>
      <c r="B56" s="8">
        <v>4</v>
      </c>
    </row>
    <row r="57" spans="1:4" x14ac:dyDescent="0.25">
      <c r="A57" s="8" t="s">
        <v>195</v>
      </c>
      <c r="B57" s="8">
        <v>3.75</v>
      </c>
    </row>
    <row r="58" spans="1:4" x14ac:dyDescent="0.25">
      <c r="A58" s="8" t="s">
        <v>194</v>
      </c>
      <c r="B58" s="8">
        <v>3.75</v>
      </c>
    </row>
    <row r="59" spans="1:4" x14ac:dyDescent="0.25">
      <c r="A59" s="8" t="s">
        <v>193</v>
      </c>
      <c r="B59" s="8">
        <v>3.5</v>
      </c>
    </row>
    <row r="60" spans="1:4" x14ac:dyDescent="0.25">
      <c r="A60" s="8" t="s">
        <v>192</v>
      </c>
      <c r="B60" s="8">
        <v>3.5</v>
      </c>
    </row>
    <row r="61" spans="1:4" x14ac:dyDescent="0.25">
      <c r="A61" s="8" t="s">
        <v>191</v>
      </c>
      <c r="B61" s="8">
        <v>3.5</v>
      </c>
    </row>
    <row r="62" spans="1:4" s="9" customFormat="1" x14ac:dyDescent="0.25">
      <c r="A62" s="9" t="s">
        <v>190</v>
      </c>
      <c r="B62" s="9">
        <v>3.5</v>
      </c>
      <c r="D62" s="3"/>
    </row>
    <row r="63" spans="1:4" x14ac:dyDescent="0.25">
      <c r="A63" s="8" t="s">
        <v>189</v>
      </c>
      <c r="B63" s="8">
        <v>3.25</v>
      </c>
    </row>
    <row r="64" spans="1:4" x14ac:dyDescent="0.25">
      <c r="A64" s="8" t="s">
        <v>188</v>
      </c>
      <c r="B64" s="8">
        <v>3.25</v>
      </c>
    </row>
    <row r="65" spans="1:4" x14ac:dyDescent="0.25">
      <c r="A65" s="8" t="s">
        <v>187</v>
      </c>
      <c r="B65" s="8">
        <v>3.25</v>
      </c>
    </row>
    <row r="66" spans="1:4" x14ac:dyDescent="0.25">
      <c r="A66" s="8" t="s">
        <v>186</v>
      </c>
      <c r="B66" s="8">
        <v>3.25</v>
      </c>
    </row>
    <row r="67" spans="1:4" x14ac:dyDescent="0.25">
      <c r="A67" s="8" t="s">
        <v>185</v>
      </c>
      <c r="B67" s="8">
        <v>3.25</v>
      </c>
    </row>
    <row r="68" spans="1:4" x14ac:dyDescent="0.25">
      <c r="A68" s="8" t="s">
        <v>184</v>
      </c>
      <c r="B68" s="8">
        <v>3.25</v>
      </c>
    </row>
    <row r="69" spans="1:4" x14ac:dyDescent="0.25">
      <c r="A69" s="8" t="s">
        <v>183</v>
      </c>
      <c r="B69" s="8">
        <v>3.25</v>
      </c>
    </row>
    <row r="70" spans="1:4" x14ac:dyDescent="0.25">
      <c r="A70" s="8" t="s">
        <v>182</v>
      </c>
      <c r="B70" s="8">
        <v>3.25</v>
      </c>
    </row>
    <row r="71" spans="1:4" x14ac:dyDescent="0.25">
      <c r="A71" s="8" t="s">
        <v>181</v>
      </c>
      <c r="B71" s="8">
        <v>3.5</v>
      </c>
    </row>
    <row r="72" spans="1:4" x14ac:dyDescent="0.25">
      <c r="A72" s="8" t="s">
        <v>180</v>
      </c>
      <c r="B72" s="8">
        <v>3.5</v>
      </c>
    </row>
    <row r="73" spans="1:4" x14ac:dyDescent="0.25">
      <c r="A73" s="8" t="s">
        <v>179</v>
      </c>
      <c r="B73" s="8">
        <v>3.5</v>
      </c>
    </row>
    <row r="74" spans="1:4" s="9" customFormat="1" x14ac:dyDescent="0.25">
      <c r="A74" s="9" t="s">
        <v>178</v>
      </c>
      <c r="B74" s="9">
        <v>3.75</v>
      </c>
      <c r="D74" s="3"/>
    </row>
    <row r="75" spans="1:4" x14ac:dyDescent="0.25">
      <c r="A75" s="8" t="s">
        <v>177</v>
      </c>
      <c r="B75" s="8">
        <v>4</v>
      </c>
      <c r="D75" s="14"/>
    </row>
    <row r="76" spans="1:4" x14ac:dyDescent="0.25">
      <c r="A76" s="8" t="s">
        <v>176</v>
      </c>
      <c r="B76" s="8">
        <v>4.25</v>
      </c>
    </row>
    <row r="77" spans="1:4" x14ac:dyDescent="0.25">
      <c r="A77" s="8" t="s">
        <v>175</v>
      </c>
      <c r="B77" s="8">
        <v>4.25</v>
      </c>
      <c r="D77" s="3">
        <f>AVERAGE(B75:B77)</f>
        <v>4.166666666666667</v>
      </c>
    </row>
    <row r="78" spans="1:4" x14ac:dyDescent="0.25">
      <c r="A78" s="8" t="s">
        <v>174</v>
      </c>
      <c r="B78" s="8">
        <v>4.25</v>
      </c>
    </row>
    <row r="79" spans="1:4" x14ac:dyDescent="0.25">
      <c r="A79" s="8" t="s">
        <v>173</v>
      </c>
      <c r="B79" s="8">
        <v>4.25</v>
      </c>
    </row>
    <row r="80" spans="1:4" x14ac:dyDescent="0.25">
      <c r="A80" s="8" t="s">
        <v>172</v>
      </c>
      <c r="B80" s="8">
        <v>4.25</v>
      </c>
      <c r="D80" s="3">
        <f>AVERAGE(B78:B80)</f>
        <v>4.25</v>
      </c>
    </row>
    <row r="81" spans="1:4" x14ac:dyDescent="0.25">
      <c r="A81" s="8" t="s">
        <v>171</v>
      </c>
      <c r="B81" s="8">
        <v>4.25</v>
      </c>
    </row>
    <row r="82" spans="1:4" x14ac:dyDescent="0.25">
      <c r="A82" s="8" t="s">
        <v>170</v>
      </c>
      <c r="B82" s="8">
        <v>4.25</v>
      </c>
    </row>
    <row r="83" spans="1:4" x14ac:dyDescent="0.25">
      <c r="A83" s="8" t="s">
        <v>169</v>
      </c>
      <c r="B83" s="8">
        <v>4.25</v>
      </c>
      <c r="D83" s="3">
        <f>AVERAGE(B81:B83)</f>
        <v>4.25</v>
      </c>
    </row>
    <row r="84" spans="1:4" x14ac:dyDescent="0.25">
      <c r="A84" s="8" t="s">
        <v>168</v>
      </c>
      <c r="B84" s="8">
        <v>4.25</v>
      </c>
    </row>
    <row r="85" spans="1:4" x14ac:dyDescent="0.25">
      <c r="A85" s="8" t="s">
        <v>167</v>
      </c>
      <c r="B85" s="8">
        <v>4.25</v>
      </c>
    </row>
    <row r="86" spans="1:4" s="9" customFormat="1" x14ac:dyDescent="0.25">
      <c r="A86" s="9" t="s">
        <v>166</v>
      </c>
      <c r="B86" s="9">
        <v>4.25</v>
      </c>
      <c r="D86" s="3">
        <f>AVERAGE(B84:B86)</f>
        <v>4.25</v>
      </c>
    </row>
    <row r="87" spans="1:4" x14ac:dyDescent="0.25">
      <c r="A87" s="8" t="s">
        <v>165</v>
      </c>
      <c r="B87" s="8">
        <v>4.25</v>
      </c>
    </row>
    <row r="88" spans="1:4" x14ac:dyDescent="0.25">
      <c r="A88" s="8" t="s">
        <v>164</v>
      </c>
      <c r="B88" s="8">
        <v>4.25</v>
      </c>
    </row>
    <row r="89" spans="1:4" x14ac:dyDescent="0.25">
      <c r="A89" s="8" t="s">
        <v>163</v>
      </c>
      <c r="B89" s="8">
        <v>4.25</v>
      </c>
      <c r="D89" s="3">
        <f>AVERAGE(B87:B89)</f>
        <v>4.25</v>
      </c>
    </row>
    <row r="90" spans="1:4" x14ac:dyDescent="0.25">
      <c r="A90" s="8" t="s">
        <v>162</v>
      </c>
      <c r="B90" s="8">
        <v>4.25</v>
      </c>
    </row>
    <row r="91" spans="1:4" x14ac:dyDescent="0.25">
      <c r="A91" s="8" t="s">
        <v>161</v>
      </c>
      <c r="B91" s="8">
        <v>4</v>
      </c>
    </row>
    <row r="92" spans="1:4" x14ac:dyDescent="0.25">
      <c r="A92" s="8" t="s">
        <v>160</v>
      </c>
      <c r="B92" s="8">
        <v>4</v>
      </c>
      <c r="D92" s="3">
        <f>AVERAGE(B90:B92)</f>
        <v>4.083333333333333</v>
      </c>
    </row>
    <row r="93" spans="1:4" x14ac:dyDescent="0.25">
      <c r="A93" s="8" t="s">
        <v>159</v>
      </c>
      <c r="B93" s="8">
        <v>3.75</v>
      </c>
    </row>
    <row r="94" spans="1:4" x14ac:dyDescent="0.25">
      <c r="A94" s="8" t="s">
        <v>158</v>
      </c>
      <c r="B94" s="8">
        <v>3.75</v>
      </c>
    </row>
    <row r="95" spans="1:4" x14ac:dyDescent="0.25">
      <c r="A95" s="8" t="s">
        <v>157</v>
      </c>
      <c r="B95" s="8">
        <v>3.5</v>
      </c>
      <c r="D95" s="3">
        <f>AVERAGE(B93:B95)</f>
        <v>3.6666666666666665</v>
      </c>
    </row>
    <row r="96" spans="1:4" x14ac:dyDescent="0.25">
      <c r="A96" s="8" t="s">
        <v>156</v>
      </c>
      <c r="B96" s="8">
        <v>3.5</v>
      </c>
    </row>
    <row r="97" spans="1:4" x14ac:dyDescent="0.25">
      <c r="A97" s="8" t="s">
        <v>155</v>
      </c>
      <c r="B97" s="8">
        <v>3.25</v>
      </c>
    </row>
    <row r="98" spans="1:4" s="9" customFormat="1" x14ac:dyDescent="0.25">
      <c r="A98" s="9" t="s">
        <v>154</v>
      </c>
      <c r="B98" s="9">
        <v>3.25</v>
      </c>
      <c r="D98" s="3">
        <f>AVERAGE(B96:B98)</f>
        <v>3.3333333333333335</v>
      </c>
    </row>
    <row r="99" spans="1:4" x14ac:dyDescent="0.25">
      <c r="A99" s="8" t="s">
        <v>153</v>
      </c>
      <c r="B99" s="8">
        <v>3</v>
      </c>
    </row>
    <row r="100" spans="1:4" x14ac:dyDescent="0.25">
      <c r="A100" s="8" t="s">
        <v>152</v>
      </c>
      <c r="B100" s="8">
        <v>3</v>
      </c>
    </row>
    <row r="101" spans="1:4" x14ac:dyDescent="0.25">
      <c r="A101" s="8" t="s">
        <v>151</v>
      </c>
      <c r="B101" s="8">
        <v>2.75</v>
      </c>
      <c r="D101" s="3">
        <f>AVERAGE(B99:B101)</f>
        <v>2.9166666666666665</v>
      </c>
    </row>
    <row r="102" spans="1:4" x14ac:dyDescent="0.25">
      <c r="A102" s="8" t="s">
        <v>150</v>
      </c>
      <c r="B102" s="8">
        <v>2.75</v>
      </c>
    </row>
    <row r="103" spans="1:4" x14ac:dyDescent="0.25">
      <c r="A103" s="8" t="s">
        <v>149</v>
      </c>
      <c r="B103" s="8">
        <v>2.75</v>
      </c>
    </row>
    <row r="104" spans="1:4" x14ac:dyDescent="0.25">
      <c r="A104" s="8" t="s">
        <v>148</v>
      </c>
      <c r="B104" s="8">
        <v>2.75</v>
      </c>
      <c r="D104" s="3">
        <f>AVERAGE(B102:B104)</f>
        <v>2.75</v>
      </c>
    </row>
    <row r="105" spans="1:4" x14ac:dyDescent="0.25">
      <c r="A105" s="8" t="s">
        <v>147</v>
      </c>
      <c r="B105" s="8">
        <v>2.75</v>
      </c>
    </row>
    <row r="106" spans="1:4" x14ac:dyDescent="0.25">
      <c r="A106" s="8" t="s">
        <v>146</v>
      </c>
      <c r="B106" s="8">
        <v>2.75</v>
      </c>
    </row>
    <row r="107" spans="1:4" x14ac:dyDescent="0.25">
      <c r="A107" s="8" t="s">
        <v>145</v>
      </c>
      <c r="B107" s="8">
        <v>2.75</v>
      </c>
      <c r="D107" s="3">
        <f>AVERAGE(B105:B107)</f>
        <v>2.75</v>
      </c>
    </row>
    <row r="108" spans="1:4" x14ac:dyDescent="0.25">
      <c r="A108" s="8" t="s">
        <v>144</v>
      </c>
      <c r="B108" s="8">
        <v>2.75</v>
      </c>
    </row>
    <row r="109" spans="1:4" x14ac:dyDescent="0.25">
      <c r="A109" s="8" t="s">
        <v>143</v>
      </c>
      <c r="B109" s="8">
        <v>2.75</v>
      </c>
    </row>
    <row r="110" spans="1:4" s="9" customFormat="1" x14ac:dyDescent="0.25">
      <c r="A110" s="9" t="s">
        <v>142</v>
      </c>
      <c r="B110" s="9">
        <v>2.75</v>
      </c>
      <c r="D110" s="3">
        <f>AVERAGE(B108:B110)</f>
        <v>2.75</v>
      </c>
    </row>
    <row r="111" spans="1:4" x14ac:dyDescent="0.25">
      <c r="A111" s="8" t="s">
        <v>141</v>
      </c>
      <c r="B111" s="8">
        <v>2.75</v>
      </c>
    </row>
    <row r="112" spans="1:4" x14ac:dyDescent="0.25">
      <c r="A112" s="8" t="s">
        <v>140</v>
      </c>
      <c r="B112" s="8">
        <v>2.75</v>
      </c>
    </row>
    <row r="113" spans="1:4" x14ac:dyDescent="0.25">
      <c r="A113" s="8" t="s">
        <v>139</v>
      </c>
      <c r="B113" s="8">
        <v>2.75</v>
      </c>
      <c r="D113" s="3">
        <f>AVERAGE(B111:B113)</f>
        <v>2.75</v>
      </c>
    </row>
    <row r="114" spans="1:4" x14ac:dyDescent="0.25">
      <c r="A114" s="8" t="s">
        <v>138</v>
      </c>
      <c r="B114" s="8">
        <v>2.75</v>
      </c>
    </row>
    <row r="115" spans="1:4" x14ac:dyDescent="0.25">
      <c r="A115" s="8" t="s">
        <v>137</v>
      </c>
      <c r="B115" s="8">
        <v>2.75</v>
      </c>
    </row>
    <row r="116" spans="1:4" x14ac:dyDescent="0.25">
      <c r="A116" s="8" t="s">
        <v>136</v>
      </c>
      <c r="B116" s="8">
        <v>2.75</v>
      </c>
      <c r="D116" s="3">
        <f>AVERAGE(B114:B116)</f>
        <v>2.75</v>
      </c>
    </row>
    <row r="117" spans="1:4" x14ac:dyDescent="0.25">
      <c r="A117" s="8" t="s">
        <v>135</v>
      </c>
      <c r="B117" s="8">
        <v>2.75</v>
      </c>
    </row>
    <row r="118" spans="1:4" x14ac:dyDescent="0.25">
      <c r="A118" s="8" t="s">
        <v>134</v>
      </c>
      <c r="B118" s="8">
        <v>2.5</v>
      </c>
    </row>
    <row r="119" spans="1:4" x14ac:dyDescent="0.25">
      <c r="A119" s="8" t="s">
        <v>133</v>
      </c>
      <c r="B119" s="8">
        <v>2.5</v>
      </c>
      <c r="D119" s="3">
        <f>AVERAGE(B117:B119)</f>
        <v>2.5833333333333335</v>
      </c>
    </row>
    <row r="120" spans="1:4" x14ac:dyDescent="0.25">
      <c r="A120" s="8" t="s">
        <v>132</v>
      </c>
      <c r="B120" s="8">
        <v>2.5</v>
      </c>
    </row>
    <row r="121" spans="1:4" x14ac:dyDescent="0.25">
      <c r="A121" s="8" t="s">
        <v>131</v>
      </c>
      <c r="B121" s="8">
        <v>2.25</v>
      </c>
    </row>
    <row r="122" spans="1:4" s="9" customFormat="1" x14ac:dyDescent="0.25">
      <c r="A122" s="9" t="s">
        <v>130</v>
      </c>
      <c r="B122" s="9">
        <v>2.25</v>
      </c>
      <c r="D122" s="3">
        <f>AVERAGE(B120:B122)</f>
        <v>2.3333333333333335</v>
      </c>
    </row>
    <row r="123" spans="1:4" x14ac:dyDescent="0.25">
      <c r="A123" s="8" t="s">
        <v>129</v>
      </c>
      <c r="B123" s="8">
        <v>2.25</v>
      </c>
    </row>
    <row r="124" spans="1:4" x14ac:dyDescent="0.25">
      <c r="A124" s="8" t="s">
        <v>128</v>
      </c>
      <c r="B124" s="8">
        <v>2.25</v>
      </c>
    </row>
    <row r="125" spans="1:4" x14ac:dyDescent="0.25">
      <c r="A125" s="8" t="s">
        <v>127</v>
      </c>
      <c r="B125" s="8">
        <v>1.25</v>
      </c>
      <c r="D125" s="3">
        <f>AVERAGE(B123:B125)</f>
        <v>1.9166666666666667</v>
      </c>
    </row>
    <row r="126" spans="1:4" x14ac:dyDescent="0.25">
      <c r="A126" s="8" t="s">
        <v>126</v>
      </c>
      <c r="B126" s="8">
        <v>0.25</v>
      </c>
    </row>
    <row r="127" spans="1:4" x14ac:dyDescent="0.25">
      <c r="A127" s="8" t="s">
        <v>125</v>
      </c>
      <c r="B127" s="8">
        <v>0.25</v>
      </c>
    </row>
    <row r="128" spans="1:4" x14ac:dyDescent="0.25">
      <c r="A128" s="8" t="s">
        <v>124</v>
      </c>
      <c r="B128" s="8">
        <v>0.25</v>
      </c>
      <c r="D128" s="3">
        <f>AVERAGE(B126:B128)</f>
        <v>0.25</v>
      </c>
    </row>
    <row r="129" spans="1:4" x14ac:dyDescent="0.25">
      <c r="A129" s="8" t="s">
        <v>123</v>
      </c>
      <c r="B129" s="8">
        <v>0.25</v>
      </c>
    </row>
    <row r="130" spans="1:4" x14ac:dyDescent="0.25">
      <c r="A130" s="8" t="s">
        <v>122</v>
      </c>
      <c r="B130" s="8">
        <v>0.25</v>
      </c>
    </row>
    <row r="131" spans="1:4" x14ac:dyDescent="0.25">
      <c r="A131" s="8" t="s">
        <v>121</v>
      </c>
      <c r="B131" s="8">
        <v>0.25</v>
      </c>
      <c r="D131" s="3">
        <f>AVERAGE(B129:B131)</f>
        <v>0.25</v>
      </c>
    </row>
    <row r="132" spans="1:4" x14ac:dyDescent="0.25">
      <c r="A132" s="8" t="s">
        <v>120</v>
      </c>
      <c r="B132" s="8">
        <v>0.25</v>
      </c>
    </row>
    <row r="133" spans="1:4" x14ac:dyDescent="0.25">
      <c r="A133" s="8" t="s">
        <v>119</v>
      </c>
      <c r="B133" s="8">
        <v>0.25</v>
      </c>
    </row>
    <row r="134" spans="1:4" s="9" customFormat="1" x14ac:dyDescent="0.25">
      <c r="A134" s="9" t="s">
        <v>118</v>
      </c>
      <c r="B134" s="9">
        <v>0.25</v>
      </c>
      <c r="D134" s="3">
        <f>AVERAGE(B132:B134)</f>
        <v>0.25</v>
      </c>
    </row>
    <row r="135" spans="1:4" x14ac:dyDescent="0.25">
      <c r="A135" s="8" t="s">
        <v>117</v>
      </c>
      <c r="B135" s="8">
        <v>0.25</v>
      </c>
    </row>
    <row r="136" spans="1:4" x14ac:dyDescent="0.25">
      <c r="A136" s="8" t="s">
        <v>116</v>
      </c>
      <c r="B136" s="8">
        <v>0.25</v>
      </c>
    </row>
    <row r="137" spans="1:4" x14ac:dyDescent="0.25">
      <c r="A137" s="8" t="s">
        <v>115</v>
      </c>
      <c r="B137" s="8">
        <v>0.25</v>
      </c>
      <c r="D137" s="3">
        <f>AVERAGE(B135:B137)</f>
        <v>0.25</v>
      </c>
    </row>
    <row r="138" spans="1:4" x14ac:dyDescent="0.25">
      <c r="A138" s="8" t="s">
        <v>114</v>
      </c>
      <c r="B138" s="8">
        <v>0.25</v>
      </c>
    </row>
    <row r="139" spans="1:4" x14ac:dyDescent="0.25">
      <c r="A139" s="8" t="s">
        <v>113</v>
      </c>
      <c r="B139" s="8">
        <v>0.25</v>
      </c>
    </row>
    <row r="140" spans="1:4" x14ac:dyDescent="0.25">
      <c r="A140" s="8" t="s">
        <v>112</v>
      </c>
      <c r="B140" s="8">
        <v>0.25</v>
      </c>
      <c r="D140" s="3">
        <f>AVERAGE(B138:B140)</f>
        <v>0.25</v>
      </c>
    </row>
    <row r="141" spans="1:4" x14ac:dyDescent="0.25">
      <c r="A141" s="8" t="s">
        <v>111</v>
      </c>
      <c r="B141" s="8">
        <v>0.25</v>
      </c>
    </row>
    <row r="142" spans="1:4" x14ac:dyDescent="0.25">
      <c r="A142" s="8" t="s">
        <v>110</v>
      </c>
      <c r="B142" s="8">
        <v>0.5</v>
      </c>
    </row>
    <row r="143" spans="1:4" x14ac:dyDescent="0.25">
      <c r="A143" s="8" t="s">
        <v>109</v>
      </c>
      <c r="B143" s="8">
        <v>1</v>
      </c>
      <c r="D143" s="3">
        <f>AVERAGE(B141:B143)</f>
        <v>0.58333333333333337</v>
      </c>
    </row>
    <row r="144" spans="1:4" x14ac:dyDescent="0.25">
      <c r="A144" s="8" t="s">
        <v>108</v>
      </c>
      <c r="B144" s="8">
        <v>1.5</v>
      </c>
    </row>
    <row r="145" spans="1:4" x14ac:dyDescent="0.25">
      <c r="A145" s="8" t="s">
        <v>107</v>
      </c>
      <c r="B145" s="8">
        <v>2</v>
      </c>
    </row>
    <row r="146" spans="1:4" s="9" customFormat="1" x14ac:dyDescent="0.25">
      <c r="A146" s="9" t="s">
        <v>106</v>
      </c>
      <c r="B146" s="9">
        <v>2.5</v>
      </c>
      <c r="D146" s="3">
        <f>AVERAGE(B144:B146)</f>
        <v>2</v>
      </c>
    </row>
    <row r="147" spans="1:4" x14ac:dyDescent="0.25">
      <c r="A147" s="8" t="s">
        <v>105</v>
      </c>
      <c r="B147" s="8">
        <v>3</v>
      </c>
    </row>
    <row r="148" spans="1:4" x14ac:dyDescent="0.25">
      <c r="A148" s="8" t="s">
        <v>104</v>
      </c>
      <c r="B148" s="8">
        <v>3.5</v>
      </c>
    </row>
    <row r="149" spans="1:4" x14ac:dyDescent="0.25">
      <c r="A149" s="8" t="s">
        <v>103</v>
      </c>
      <c r="B149" s="8">
        <v>4</v>
      </c>
      <c r="D149" s="3">
        <f>AVERAGE(B147:B149)</f>
        <v>3.5</v>
      </c>
    </row>
    <row r="150" spans="1:4" x14ac:dyDescent="0.25">
      <c r="A150" s="8" t="s">
        <v>102</v>
      </c>
      <c r="B150" s="8">
        <v>4.5</v>
      </c>
    </row>
    <row r="151" spans="1:4" x14ac:dyDescent="0.25">
      <c r="A151" s="8" t="s">
        <v>101</v>
      </c>
      <c r="B151" s="8">
        <v>5</v>
      </c>
    </row>
    <row r="152" spans="1:4" x14ac:dyDescent="0.25">
      <c r="A152" s="8" t="s">
        <v>100</v>
      </c>
      <c r="B152" s="8">
        <v>5.5</v>
      </c>
      <c r="D152" s="3">
        <f>AVERAGE(B150:B152)</f>
        <v>5</v>
      </c>
    </row>
    <row r="153" spans="1:4" x14ac:dyDescent="0.25">
      <c r="A153" s="8" t="s">
        <v>99</v>
      </c>
      <c r="B153" s="8">
        <v>6</v>
      </c>
    </row>
    <row r="154" spans="1:4" x14ac:dyDescent="0.25">
      <c r="A154" s="8" t="s">
        <v>98</v>
      </c>
      <c r="B154" s="8">
        <v>6.5</v>
      </c>
    </row>
    <row r="155" spans="1:4" x14ac:dyDescent="0.25">
      <c r="A155" s="8" t="s">
        <v>97</v>
      </c>
      <c r="B155" s="8">
        <v>6.75</v>
      </c>
      <c r="D155" s="3">
        <f>AVERAGE(B153:B155)</f>
        <v>6.416666666666667</v>
      </c>
    </row>
    <row r="156" spans="1:4" x14ac:dyDescent="0.25">
      <c r="A156" s="8" t="s">
        <v>96</v>
      </c>
      <c r="B156" s="8">
        <v>7</v>
      </c>
    </row>
    <row r="157" spans="1:4" x14ac:dyDescent="0.25">
      <c r="A157" s="8" t="s">
        <v>95</v>
      </c>
      <c r="B157" s="8">
        <v>7.25</v>
      </c>
    </row>
    <row r="158" spans="1:4" s="9" customFormat="1" x14ac:dyDescent="0.25">
      <c r="A158" s="9" t="s">
        <v>94</v>
      </c>
      <c r="B158" s="9">
        <v>7.5</v>
      </c>
      <c r="D158" s="3">
        <f>AVERAGE(B156:B158)</f>
        <v>7.25</v>
      </c>
    </row>
    <row r="159" spans="1:4" x14ac:dyDescent="0.25">
      <c r="A159" s="8" t="s">
        <v>93</v>
      </c>
      <c r="B159" s="8">
        <v>7.75</v>
      </c>
    </row>
    <row r="160" spans="1:4" x14ac:dyDescent="0.25">
      <c r="A160" s="8" t="s">
        <v>92</v>
      </c>
      <c r="B160" s="8">
        <v>7.75</v>
      </c>
    </row>
    <row r="161" spans="1:4" x14ac:dyDescent="0.25">
      <c r="A161" s="8" t="s">
        <v>91</v>
      </c>
      <c r="B161" s="8">
        <v>7.75</v>
      </c>
      <c r="D161" s="3">
        <f>AVERAGE(B159:B161)</f>
        <v>7.75</v>
      </c>
    </row>
    <row r="162" spans="1:4" x14ac:dyDescent="0.25">
      <c r="A162" s="8" t="s">
        <v>90</v>
      </c>
      <c r="B162" s="8">
        <v>7.75</v>
      </c>
    </row>
    <row r="163" spans="1:4" x14ac:dyDescent="0.25">
      <c r="A163" s="8" t="s">
        <v>89</v>
      </c>
      <c r="B163" s="8">
        <v>7.75</v>
      </c>
    </row>
    <row r="164" spans="1:4" x14ac:dyDescent="0.25">
      <c r="A164" s="8" t="s">
        <v>88</v>
      </c>
      <c r="B164" s="8">
        <v>7.75</v>
      </c>
      <c r="D164" s="3">
        <f>AVERAGE(B162:B164)</f>
        <v>7.75</v>
      </c>
    </row>
    <row r="165" spans="1:4" x14ac:dyDescent="0.25">
      <c r="A165" s="8" t="s">
        <v>87</v>
      </c>
      <c r="B165" s="8">
        <v>7.75</v>
      </c>
    </row>
    <row r="166" spans="1:4" x14ac:dyDescent="0.25">
      <c r="A166" s="8" t="s">
        <v>86</v>
      </c>
      <c r="B166" s="8">
        <v>7.75</v>
      </c>
    </row>
    <row r="167" spans="1:4" x14ac:dyDescent="0.25">
      <c r="A167" s="8" t="s">
        <v>85</v>
      </c>
      <c r="B167" s="8">
        <v>7.5</v>
      </c>
      <c r="D167" s="3">
        <f>AVERAGE(B165:B167)</f>
        <v>7.666666666666667</v>
      </c>
    </row>
    <row r="168" spans="1:4" x14ac:dyDescent="0.25">
      <c r="A168" s="8" t="s">
        <v>84</v>
      </c>
      <c r="B168" s="8">
        <v>7.25</v>
      </c>
    </row>
    <row r="169" spans="1:4" x14ac:dyDescent="0.25">
      <c r="A169" s="8" t="s">
        <v>83</v>
      </c>
      <c r="B169" s="8">
        <v>7</v>
      </c>
    </row>
    <row r="170" spans="1:4" s="9" customFormat="1" x14ac:dyDescent="0.25">
      <c r="A170" s="9" t="s">
        <v>82</v>
      </c>
      <c r="B170" s="9">
        <v>6.75</v>
      </c>
      <c r="D170" s="3">
        <f>AVERAGE(B168:B170)</f>
        <v>7</v>
      </c>
    </row>
    <row r="171" spans="1:4" x14ac:dyDescent="0.25">
      <c r="A171" s="8" t="s">
        <v>81</v>
      </c>
      <c r="B171" s="8">
        <v>6.5</v>
      </c>
    </row>
    <row r="172" spans="1:4" x14ac:dyDescent="0.25">
      <c r="A172" s="8" t="s">
        <v>80</v>
      </c>
      <c r="B172" s="8">
        <v>6.25</v>
      </c>
    </row>
    <row r="173" spans="1:4" x14ac:dyDescent="0.25">
      <c r="A173" s="8" t="s">
        <v>79</v>
      </c>
      <c r="B173" s="8">
        <v>6.25</v>
      </c>
      <c r="D173" s="3">
        <f>AVERAGE(B171:B173)</f>
        <v>6.333333333333333</v>
      </c>
    </row>
    <row r="174" spans="1:4" x14ac:dyDescent="0.25">
      <c r="A174" s="8" t="s">
        <v>78</v>
      </c>
      <c r="B174" s="8">
        <v>6</v>
      </c>
    </row>
    <row r="175" spans="1:4" x14ac:dyDescent="0.25">
      <c r="A175" s="8" t="s">
        <v>77</v>
      </c>
      <c r="B175" s="8">
        <v>5.75</v>
      </c>
    </row>
    <row r="176" spans="1:4" x14ac:dyDescent="0.25">
      <c r="A176" s="8" t="s">
        <v>76</v>
      </c>
      <c r="B176" s="8">
        <v>5.75</v>
      </c>
      <c r="D176" s="3">
        <f>AVERAGE(B174:B176)</f>
        <v>5.833333333333333</v>
      </c>
    </row>
    <row r="177" spans="1:4" x14ac:dyDescent="0.25">
      <c r="A177" s="8" t="s">
        <v>75</v>
      </c>
      <c r="B177" s="8">
        <v>5.75</v>
      </c>
    </row>
    <row r="178" spans="1:4" x14ac:dyDescent="0.25">
      <c r="A178" s="8" t="s">
        <v>74</v>
      </c>
      <c r="B178" s="8">
        <v>5.5</v>
      </c>
    </row>
    <row r="179" spans="1:4" x14ac:dyDescent="0.25">
      <c r="A179" s="8" t="s">
        <v>73</v>
      </c>
      <c r="B179" s="8">
        <v>5.25</v>
      </c>
      <c r="D179" s="3">
        <f>AVERAGE(B177:B179)</f>
        <v>5.5</v>
      </c>
    </row>
    <row r="180" spans="1:4" x14ac:dyDescent="0.25">
      <c r="A180" s="8" t="s">
        <v>72</v>
      </c>
      <c r="B180" s="8">
        <v>5.25</v>
      </c>
    </row>
    <row r="181" spans="1:4" x14ac:dyDescent="0.25">
      <c r="A181" s="8" t="s">
        <v>71</v>
      </c>
      <c r="B181" s="8">
        <v>5</v>
      </c>
    </row>
    <row r="182" spans="1:4" s="9" customFormat="1" x14ac:dyDescent="0.25">
      <c r="A182" s="9" t="s">
        <v>70</v>
      </c>
      <c r="B182" s="9">
        <v>5</v>
      </c>
      <c r="D182" s="3">
        <f>AVERAGE(B180:B182)</f>
        <v>5.083333333333333</v>
      </c>
    </row>
  </sheetData>
  <sheetProtection formatCells="0" formatColumns="0" formatRows="0" insertColumns="0" insertRows="0" insertHyperlinks="0" deleteColumns="0" deleteRows="0" sort="0" autoFilter="0" pivotTables="0"/>
  <autoFilter ref="A1:B182" xr:uid="{EC5939A7-54BC-46A8-83D5-A37F14F5B38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F5DD2-CFA7-4753-8D49-BD15249B08FA}">
  <dimension ref="A1:D182"/>
  <sheetViews>
    <sheetView topLeftCell="A124" workbookViewId="0">
      <selection activeCell="D182" activeCellId="35" sqref="D77 D80 D83 D86 D89 D92 D95 D98 D101 D104 D107 D110 D113 D116 D119 D122 D125 D128 D131 D134 D137 D140 D143 D146 D149 D152 D155 D158 D161 D164 D167 D170 D173 D176 D179 D182"/>
    </sheetView>
  </sheetViews>
  <sheetFormatPr baseColWidth="10" defaultColWidth="9.140625" defaultRowHeight="15" x14ac:dyDescent="0.25"/>
  <cols>
    <col min="1" max="3" width="9.140625" style="8"/>
    <col min="4" max="4" width="9.140625" style="3"/>
    <col min="5" max="16384" width="9.140625" style="8"/>
  </cols>
  <sheetData>
    <row r="1" spans="1:2" x14ac:dyDescent="0.25">
      <c r="B1" s="8" t="s">
        <v>253</v>
      </c>
    </row>
    <row r="2" spans="1:2" x14ac:dyDescent="0.25">
      <c r="B2" s="8" t="s">
        <v>252</v>
      </c>
    </row>
    <row r="3" spans="1:2" x14ac:dyDescent="0.25">
      <c r="A3" s="8" t="s">
        <v>249</v>
      </c>
      <c r="B3" s="8">
        <v>7.5967241748328904</v>
      </c>
    </row>
    <row r="4" spans="1:2" x14ac:dyDescent="0.25">
      <c r="A4" s="8" t="s">
        <v>248</v>
      </c>
      <c r="B4" s="8">
        <v>7.2160902984479902</v>
      </c>
    </row>
    <row r="5" spans="1:2" x14ac:dyDescent="0.25">
      <c r="A5" s="8" t="s">
        <v>247</v>
      </c>
      <c r="B5" s="8">
        <v>7.60548480935954</v>
      </c>
    </row>
    <row r="6" spans="1:2" x14ac:dyDescent="0.25">
      <c r="A6" s="8" t="s">
        <v>246</v>
      </c>
      <c r="B6" s="8">
        <v>7.1892591339046401</v>
      </c>
    </row>
    <row r="7" spans="1:2" x14ac:dyDescent="0.25">
      <c r="A7" s="8" t="s">
        <v>245</v>
      </c>
      <c r="B7" s="8">
        <v>7.1572248474634597</v>
      </c>
    </row>
    <row r="8" spans="1:2" x14ac:dyDescent="0.25">
      <c r="A8" s="8" t="s">
        <v>244</v>
      </c>
      <c r="B8" s="8">
        <v>7.7659314416459297</v>
      </c>
    </row>
    <row r="9" spans="1:2" x14ac:dyDescent="0.25">
      <c r="A9" s="8" t="s">
        <v>243</v>
      </c>
      <c r="B9" s="8">
        <v>9.3791974982133208</v>
      </c>
    </row>
    <row r="10" spans="1:2" x14ac:dyDescent="0.25">
      <c r="A10" s="8" t="s">
        <v>242</v>
      </c>
      <c r="B10" s="8">
        <v>8.5944397128607495</v>
      </c>
    </row>
    <row r="11" spans="1:2" x14ac:dyDescent="0.25">
      <c r="A11" s="8" t="s">
        <v>241</v>
      </c>
      <c r="B11" s="8">
        <v>8.8354449467762493</v>
      </c>
    </row>
    <row r="12" spans="1:2" x14ac:dyDescent="0.25">
      <c r="A12" s="8" t="s">
        <v>240</v>
      </c>
      <c r="B12" s="8">
        <v>11.123976573960601</v>
      </c>
    </row>
    <row r="13" spans="1:2" x14ac:dyDescent="0.25">
      <c r="A13" s="8" t="s">
        <v>239</v>
      </c>
      <c r="B13" s="8">
        <v>10.6336051012907</v>
      </c>
    </row>
    <row r="14" spans="1:2" x14ac:dyDescent="0.25">
      <c r="A14" s="8" t="s">
        <v>238</v>
      </c>
      <c r="B14" s="8">
        <v>16.455832298111801</v>
      </c>
    </row>
    <row r="15" spans="1:2" x14ac:dyDescent="0.25">
      <c r="A15" s="8" t="s">
        <v>237</v>
      </c>
      <c r="B15" s="8">
        <v>12.7040646458697</v>
      </c>
    </row>
    <row r="16" spans="1:2" x14ac:dyDescent="0.25">
      <c r="A16" s="8" t="s">
        <v>236</v>
      </c>
      <c r="B16" s="8">
        <v>12.2739932429274</v>
      </c>
    </row>
    <row r="17" spans="1:2" x14ac:dyDescent="0.25">
      <c r="A17" s="8" t="s">
        <v>235</v>
      </c>
      <c r="B17" s="8">
        <v>11.653118675010401</v>
      </c>
    </row>
    <row r="18" spans="1:2" x14ac:dyDescent="0.25">
      <c r="A18" s="8" t="s">
        <v>234</v>
      </c>
      <c r="B18" s="8">
        <v>13.272247330274601</v>
      </c>
    </row>
    <row r="19" spans="1:2" x14ac:dyDescent="0.25">
      <c r="A19" s="8" t="s">
        <v>233</v>
      </c>
      <c r="B19" s="8">
        <v>12.484702859234901</v>
      </c>
    </row>
    <row r="20" spans="1:2" x14ac:dyDescent="0.25">
      <c r="A20" s="8" t="s">
        <v>232</v>
      </c>
      <c r="B20" s="8">
        <v>14.6608328035715</v>
      </c>
    </row>
    <row r="21" spans="1:2" x14ac:dyDescent="0.25">
      <c r="A21" s="8" t="s">
        <v>231</v>
      </c>
      <c r="B21" s="8">
        <v>13.683608672240901</v>
      </c>
    </row>
    <row r="22" spans="1:2" x14ac:dyDescent="0.25">
      <c r="A22" s="8" t="s">
        <v>230</v>
      </c>
      <c r="B22" s="8">
        <v>12.400542946794401</v>
      </c>
    </row>
    <row r="23" spans="1:2" x14ac:dyDescent="0.25">
      <c r="A23" s="8" t="s">
        <v>229</v>
      </c>
      <c r="B23" s="8">
        <v>14.3550396061797</v>
      </c>
    </row>
    <row r="24" spans="1:2" x14ac:dyDescent="0.25">
      <c r="A24" s="8" t="s">
        <v>228</v>
      </c>
      <c r="B24" s="8">
        <v>15.388716177212199</v>
      </c>
    </row>
    <row r="25" spans="1:2" x14ac:dyDescent="0.25">
      <c r="A25" s="8" t="s">
        <v>227</v>
      </c>
      <c r="B25" s="8">
        <v>14.960391116971699</v>
      </c>
    </row>
    <row r="26" spans="1:2" x14ac:dyDescent="0.25">
      <c r="A26" s="8" t="s">
        <v>226</v>
      </c>
      <c r="B26" s="8">
        <v>17.584297120721999</v>
      </c>
    </row>
    <row r="27" spans="1:2" x14ac:dyDescent="0.25">
      <c r="A27" s="8" t="s">
        <v>225</v>
      </c>
      <c r="B27" s="8">
        <v>15.478736785676199</v>
      </c>
    </row>
    <row r="28" spans="1:2" x14ac:dyDescent="0.25">
      <c r="A28" s="8" t="s">
        <v>224</v>
      </c>
      <c r="B28" s="8">
        <v>17.483964626402699</v>
      </c>
    </row>
    <row r="29" spans="1:2" x14ac:dyDescent="0.25">
      <c r="A29" s="8" t="s">
        <v>223</v>
      </c>
      <c r="B29" s="8">
        <v>16.990194803501399</v>
      </c>
    </row>
    <row r="30" spans="1:2" x14ac:dyDescent="0.25">
      <c r="A30" s="8" t="s">
        <v>222</v>
      </c>
      <c r="B30" s="8">
        <v>16.0815291300543</v>
      </c>
    </row>
    <row r="31" spans="1:2" x14ac:dyDescent="0.25">
      <c r="A31" s="8" t="s">
        <v>221</v>
      </c>
      <c r="B31" s="8">
        <v>18.894834161161601</v>
      </c>
    </row>
    <row r="32" spans="1:2" x14ac:dyDescent="0.25">
      <c r="A32" s="8" t="s">
        <v>220</v>
      </c>
      <c r="B32" s="8">
        <v>16.993685636060999</v>
      </c>
    </row>
    <row r="33" spans="1:2" x14ac:dyDescent="0.25">
      <c r="A33" s="8" t="s">
        <v>219</v>
      </c>
      <c r="B33" s="8">
        <v>15.802373434382501</v>
      </c>
    </row>
    <row r="34" spans="1:2" x14ac:dyDescent="0.25">
      <c r="A34" s="8" t="s">
        <v>218</v>
      </c>
      <c r="B34" s="8">
        <v>18.111750976422702</v>
      </c>
    </row>
    <row r="35" spans="1:2" x14ac:dyDescent="0.25">
      <c r="A35" s="8" t="s">
        <v>217</v>
      </c>
      <c r="B35" s="8">
        <v>22.802046818683898</v>
      </c>
    </row>
    <row r="36" spans="1:2" x14ac:dyDescent="0.25">
      <c r="A36" s="8" t="s">
        <v>216</v>
      </c>
      <c r="B36" s="8">
        <v>24.288388687070299</v>
      </c>
    </row>
    <row r="37" spans="1:2" x14ac:dyDescent="0.25">
      <c r="A37" s="8" t="s">
        <v>215</v>
      </c>
      <c r="B37" s="8">
        <v>22.326073751525399</v>
      </c>
    </row>
    <row r="38" spans="1:2" x14ac:dyDescent="0.25">
      <c r="A38" s="8" t="s">
        <v>214</v>
      </c>
      <c r="B38" s="8">
        <v>22.643992792970199</v>
      </c>
    </row>
    <row r="39" spans="1:2" x14ac:dyDescent="0.25">
      <c r="A39" s="8" t="s">
        <v>213</v>
      </c>
      <c r="B39" s="8">
        <v>21.4532804527867</v>
      </c>
    </row>
    <row r="40" spans="1:2" x14ac:dyDescent="0.25">
      <c r="A40" s="8" t="s">
        <v>212</v>
      </c>
      <c r="B40" s="8">
        <v>26.380398527554899</v>
      </c>
    </row>
    <row r="41" spans="1:2" x14ac:dyDescent="0.25">
      <c r="A41" s="8" t="s">
        <v>211</v>
      </c>
      <c r="B41" s="8">
        <v>23.701034347312699</v>
      </c>
    </row>
    <row r="42" spans="1:2" x14ac:dyDescent="0.25">
      <c r="A42" s="8" t="s">
        <v>210</v>
      </c>
      <c r="B42" s="8">
        <v>21.560931023202301</v>
      </c>
    </row>
    <row r="43" spans="1:2" x14ac:dyDescent="0.25">
      <c r="A43" s="8" t="s">
        <v>209</v>
      </c>
      <c r="B43" s="8">
        <v>24.356430612064401</v>
      </c>
    </row>
    <row r="44" spans="1:2" x14ac:dyDescent="0.25">
      <c r="A44" s="8" t="s">
        <v>208</v>
      </c>
      <c r="B44" s="8">
        <v>21.493301490000501</v>
      </c>
    </row>
    <row r="45" spans="1:2" x14ac:dyDescent="0.25">
      <c r="A45" s="8" t="s">
        <v>207</v>
      </c>
      <c r="B45" s="8">
        <v>17.856245358357601</v>
      </c>
    </row>
    <row r="46" spans="1:2" x14ac:dyDescent="0.25">
      <c r="A46" s="8" t="s">
        <v>206</v>
      </c>
      <c r="B46" s="8">
        <v>21.856929018562401</v>
      </c>
    </row>
    <row r="47" spans="1:2" x14ac:dyDescent="0.25">
      <c r="A47" s="8" t="s">
        <v>205</v>
      </c>
      <c r="B47" s="8">
        <v>18.5111235348108</v>
      </c>
    </row>
    <row r="48" spans="1:2" x14ac:dyDescent="0.25">
      <c r="A48" s="8" t="s">
        <v>204</v>
      </c>
      <c r="B48" s="8">
        <v>20.928510445703999</v>
      </c>
    </row>
    <row r="49" spans="1:2" x14ac:dyDescent="0.25">
      <c r="A49" s="8" t="s">
        <v>203</v>
      </c>
      <c r="B49" s="8">
        <v>20.289252718846999</v>
      </c>
    </row>
    <row r="50" spans="1:2" x14ac:dyDescent="0.25">
      <c r="A50" s="8" t="s">
        <v>202</v>
      </c>
      <c r="B50" s="8">
        <v>16.4901121590892</v>
      </c>
    </row>
    <row r="51" spans="1:2" x14ac:dyDescent="0.25">
      <c r="A51" s="8" t="s">
        <v>201</v>
      </c>
      <c r="B51" s="8">
        <v>15.709403686566199</v>
      </c>
    </row>
    <row r="52" spans="1:2" x14ac:dyDescent="0.25">
      <c r="A52" s="8" t="s">
        <v>200</v>
      </c>
      <c r="B52" s="8">
        <v>14.6244073425447</v>
      </c>
    </row>
    <row r="53" spans="1:2" x14ac:dyDescent="0.25">
      <c r="A53" s="8" t="s">
        <v>199</v>
      </c>
      <c r="B53" s="8">
        <v>12.2083477827611</v>
      </c>
    </row>
    <row r="54" spans="1:2" x14ac:dyDescent="0.25">
      <c r="A54" s="8" t="s">
        <v>198</v>
      </c>
      <c r="B54" s="8">
        <v>14.524277755341201</v>
      </c>
    </row>
    <row r="55" spans="1:2" x14ac:dyDescent="0.25">
      <c r="A55" s="8" t="s">
        <v>197</v>
      </c>
      <c r="B55" s="8">
        <v>12.330874899264799</v>
      </c>
    </row>
    <row r="56" spans="1:2" x14ac:dyDescent="0.25">
      <c r="A56" s="8" t="s">
        <v>196</v>
      </c>
      <c r="B56" s="8">
        <v>12.496570170121799</v>
      </c>
    </row>
    <row r="57" spans="1:2" x14ac:dyDescent="0.25">
      <c r="A57" s="8" t="s">
        <v>195</v>
      </c>
      <c r="B57" s="8">
        <v>11.6967851247641</v>
      </c>
    </row>
    <row r="58" spans="1:2" x14ac:dyDescent="0.25">
      <c r="A58" s="8" t="s">
        <v>194</v>
      </c>
      <c r="B58" s="8">
        <v>11.4865267060826</v>
      </c>
    </row>
    <row r="59" spans="1:2" x14ac:dyDescent="0.25">
      <c r="A59" s="8" t="s">
        <v>193</v>
      </c>
      <c r="B59" s="8">
        <v>10.8735444731299</v>
      </c>
    </row>
    <row r="60" spans="1:2" x14ac:dyDescent="0.25">
      <c r="A60" s="8" t="s">
        <v>192</v>
      </c>
      <c r="B60" s="8">
        <v>10.798117416291101</v>
      </c>
    </row>
    <row r="61" spans="1:2" x14ac:dyDescent="0.25">
      <c r="A61" s="8" t="s">
        <v>191</v>
      </c>
      <c r="B61" s="8">
        <v>10.6212222165498</v>
      </c>
    </row>
    <row r="62" spans="1:2" x14ac:dyDescent="0.25">
      <c r="A62" s="8" t="s">
        <v>190</v>
      </c>
      <c r="B62" s="8">
        <v>13.074052494962199</v>
      </c>
    </row>
    <row r="63" spans="1:2" x14ac:dyDescent="0.25">
      <c r="A63" s="8" t="s">
        <v>189</v>
      </c>
      <c r="B63" s="8">
        <v>10.3631842819984</v>
      </c>
    </row>
    <row r="64" spans="1:2" x14ac:dyDescent="0.25">
      <c r="A64" s="8" t="s">
        <v>188</v>
      </c>
      <c r="B64" s="8">
        <v>9.0024264494483308</v>
      </c>
    </row>
    <row r="65" spans="1:4" x14ac:dyDescent="0.25">
      <c r="A65" s="8" t="s">
        <v>187</v>
      </c>
      <c r="B65" s="8">
        <v>10.0594440486518</v>
      </c>
    </row>
    <row r="66" spans="1:4" x14ac:dyDescent="0.25">
      <c r="A66" s="8" t="s">
        <v>186</v>
      </c>
      <c r="B66" s="8">
        <v>9.6420542925667103</v>
      </c>
    </row>
    <row r="67" spans="1:4" x14ac:dyDescent="0.25">
      <c r="A67" s="8" t="s">
        <v>185</v>
      </c>
      <c r="B67" s="8">
        <v>8.4885239203214606</v>
      </c>
    </row>
    <row r="68" spans="1:4" x14ac:dyDescent="0.25">
      <c r="A68" s="8" t="s">
        <v>184</v>
      </c>
      <c r="B68" s="8">
        <v>8.7259345673483804</v>
      </c>
    </row>
    <row r="69" spans="1:4" x14ac:dyDescent="0.25">
      <c r="A69" s="8" t="s">
        <v>183</v>
      </c>
      <c r="B69" s="8">
        <v>10.765612856968101</v>
      </c>
    </row>
    <row r="70" spans="1:4" x14ac:dyDescent="0.25">
      <c r="A70" s="8" t="s">
        <v>182</v>
      </c>
      <c r="B70" s="8">
        <v>8.4004639097635305</v>
      </c>
    </row>
    <row r="71" spans="1:4" x14ac:dyDescent="0.25">
      <c r="A71" s="8" t="s">
        <v>181</v>
      </c>
      <c r="B71" s="8">
        <v>8.2870024880336892</v>
      </c>
    </row>
    <row r="72" spans="1:4" x14ac:dyDescent="0.25">
      <c r="A72" s="8" t="s">
        <v>180</v>
      </c>
      <c r="B72" s="8">
        <v>7.6281994380969396</v>
      </c>
    </row>
    <row r="73" spans="1:4" x14ac:dyDescent="0.25">
      <c r="A73" s="8" t="s">
        <v>179</v>
      </c>
      <c r="B73" s="8">
        <v>8.5539838965228103</v>
      </c>
    </row>
    <row r="74" spans="1:4" x14ac:dyDescent="0.25">
      <c r="A74" s="8" t="s">
        <v>178</v>
      </c>
      <c r="B74" s="8">
        <v>9.2173847041621695</v>
      </c>
    </row>
    <row r="75" spans="1:4" x14ac:dyDescent="0.25">
      <c r="A75" s="8" t="s">
        <v>177</v>
      </c>
      <c r="B75" s="8">
        <v>7.5030915253117598</v>
      </c>
      <c r="D75" s="14"/>
    </row>
    <row r="76" spans="1:4" x14ac:dyDescent="0.25">
      <c r="A76" s="8" t="s">
        <v>176</v>
      </c>
      <c r="B76" s="8">
        <v>7.8801305694725796</v>
      </c>
    </row>
    <row r="77" spans="1:4" x14ac:dyDescent="0.25">
      <c r="A77" s="8" t="s">
        <v>175</v>
      </c>
      <c r="B77" s="8">
        <v>8.6826010175071708</v>
      </c>
      <c r="D77" s="3">
        <f>AVERAGE(B75:B77)</f>
        <v>8.0219410374305031</v>
      </c>
    </row>
    <row r="78" spans="1:4" x14ac:dyDescent="0.25">
      <c r="A78" s="8" t="s">
        <v>174</v>
      </c>
      <c r="B78" s="8">
        <v>8.2101891857477902</v>
      </c>
    </row>
    <row r="79" spans="1:4" x14ac:dyDescent="0.25">
      <c r="A79" s="8" t="s">
        <v>173</v>
      </c>
      <c r="B79" s="8">
        <v>7.9200050610756501</v>
      </c>
    </row>
    <row r="80" spans="1:4" x14ac:dyDescent="0.25">
      <c r="A80" s="8" t="s">
        <v>172</v>
      </c>
      <c r="B80" s="8">
        <v>7.8738495836915003</v>
      </c>
      <c r="D80" s="3">
        <f>AVERAGE(B78:B80)</f>
        <v>8.0013479435049799</v>
      </c>
    </row>
    <row r="81" spans="1:4" x14ac:dyDescent="0.25">
      <c r="A81" s="8" t="s">
        <v>171</v>
      </c>
      <c r="B81" s="8">
        <v>7.82875904914121</v>
      </c>
    </row>
    <row r="82" spans="1:4" x14ac:dyDescent="0.25">
      <c r="A82" s="8" t="s">
        <v>170</v>
      </c>
      <c r="B82" s="8">
        <v>7.4568749769115996</v>
      </c>
    </row>
    <row r="83" spans="1:4" x14ac:dyDescent="0.25">
      <c r="A83" s="8" t="s">
        <v>169</v>
      </c>
      <c r="B83" s="8">
        <v>8.1625621453273194</v>
      </c>
      <c r="D83" s="3">
        <f>AVERAGE(B81:B83)</f>
        <v>7.816065390460043</v>
      </c>
    </row>
    <row r="84" spans="1:4" x14ac:dyDescent="0.25">
      <c r="A84" s="8" t="s">
        <v>168</v>
      </c>
      <c r="B84" s="8">
        <v>7.4165356170515198</v>
      </c>
    </row>
    <row r="85" spans="1:4" x14ac:dyDescent="0.25">
      <c r="A85" s="8" t="s">
        <v>167</v>
      </c>
      <c r="B85" s="8">
        <v>7.7657309474807201</v>
      </c>
    </row>
    <row r="86" spans="1:4" x14ac:dyDescent="0.25">
      <c r="A86" s="8" t="s">
        <v>166</v>
      </c>
      <c r="B86" s="8">
        <v>7.9418446817247803</v>
      </c>
      <c r="D86" s="3">
        <f>AVERAGE(B84:B86)</f>
        <v>7.7080370820856734</v>
      </c>
    </row>
    <row r="87" spans="1:4" x14ac:dyDescent="0.25">
      <c r="A87" s="8" t="s">
        <v>165</v>
      </c>
      <c r="B87" s="8">
        <v>7.7885176914937997</v>
      </c>
    </row>
    <row r="88" spans="1:4" x14ac:dyDescent="0.25">
      <c r="A88" s="8" t="s">
        <v>164</v>
      </c>
      <c r="B88" s="8">
        <v>7.0740732005359899</v>
      </c>
    </row>
    <row r="89" spans="1:4" x14ac:dyDescent="0.25">
      <c r="A89" s="8" t="s">
        <v>163</v>
      </c>
      <c r="B89" s="8">
        <v>7.4647519932439002</v>
      </c>
      <c r="D89" s="3">
        <f>AVERAGE(B87:B89)</f>
        <v>7.4424476284245635</v>
      </c>
    </row>
    <row r="90" spans="1:4" x14ac:dyDescent="0.25">
      <c r="A90" s="8" t="s">
        <v>162</v>
      </c>
      <c r="B90" s="8">
        <v>6.9559816641388101</v>
      </c>
    </row>
    <row r="91" spans="1:4" x14ac:dyDescent="0.25">
      <c r="A91" s="8" t="s">
        <v>161</v>
      </c>
      <c r="B91" s="8">
        <v>6.89240108166823</v>
      </c>
    </row>
    <row r="92" spans="1:4" x14ac:dyDescent="0.25">
      <c r="A92" s="8" t="s">
        <v>160</v>
      </c>
      <c r="B92" s="8">
        <v>8.14908465495113</v>
      </c>
      <c r="D92" s="3">
        <f>AVERAGE(B90:B92)</f>
        <v>7.3324891335860558</v>
      </c>
    </row>
    <row r="93" spans="1:4" x14ac:dyDescent="0.25">
      <c r="A93" s="8" t="s">
        <v>159</v>
      </c>
      <c r="B93" s="8">
        <v>7.9094848215301301</v>
      </c>
    </row>
    <row r="94" spans="1:4" x14ac:dyDescent="0.25">
      <c r="A94" s="8" t="s">
        <v>158</v>
      </c>
      <c r="B94" s="8">
        <v>7.1949736635191099</v>
      </c>
    </row>
    <row r="95" spans="1:4" x14ac:dyDescent="0.25">
      <c r="A95" s="8" t="s">
        <v>157</v>
      </c>
      <c r="B95" s="8">
        <v>7.0241157025102403</v>
      </c>
      <c r="D95" s="3">
        <f>AVERAGE(B93:B95)</f>
        <v>7.3761913958531595</v>
      </c>
    </row>
    <row r="96" spans="1:4" x14ac:dyDescent="0.25">
      <c r="A96" s="8" t="s">
        <v>156</v>
      </c>
      <c r="B96" s="8">
        <v>7.2770515132861204</v>
      </c>
    </row>
    <row r="97" spans="1:4" x14ac:dyDescent="0.25">
      <c r="A97" s="8" t="s">
        <v>155</v>
      </c>
      <c r="B97" s="8">
        <v>7.1343745926026996</v>
      </c>
    </row>
    <row r="98" spans="1:4" x14ac:dyDescent="0.25">
      <c r="A98" s="8" t="s">
        <v>154</v>
      </c>
      <c r="B98" s="8">
        <v>7.5895178096414</v>
      </c>
      <c r="D98" s="3">
        <f>AVERAGE(B96:B98)</f>
        <v>7.3336479718434076</v>
      </c>
    </row>
    <row r="99" spans="1:4" x14ac:dyDescent="0.25">
      <c r="A99" s="8" t="s">
        <v>153</v>
      </c>
      <c r="B99" s="8">
        <v>6.7577671892510498</v>
      </c>
    </row>
    <row r="100" spans="1:4" x14ac:dyDescent="0.25">
      <c r="A100" s="8" t="s">
        <v>152</v>
      </c>
      <c r="B100" s="8">
        <v>6.4821128763812004</v>
      </c>
    </row>
    <row r="101" spans="1:4" x14ac:dyDescent="0.25">
      <c r="A101" s="8" t="s">
        <v>151</v>
      </c>
      <c r="B101" s="8">
        <v>7.0178622538392803</v>
      </c>
      <c r="D101" s="3">
        <f>AVERAGE(B99:B101)</f>
        <v>6.7525807731571765</v>
      </c>
    </row>
    <row r="102" spans="1:4" x14ac:dyDescent="0.25">
      <c r="A102" s="8" t="s">
        <v>150</v>
      </c>
      <c r="B102" s="8">
        <v>6.7535480086100899</v>
      </c>
    </row>
    <row r="103" spans="1:4" x14ac:dyDescent="0.25">
      <c r="A103" s="8" t="s">
        <v>149</v>
      </c>
      <c r="B103" s="8">
        <v>6.4670775684241804</v>
      </c>
    </row>
    <row r="104" spans="1:4" x14ac:dyDescent="0.25">
      <c r="A104" s="8" t="s">
        <v>148</v>
      </c>
      <c r="B104" s="8">
        <v>6.8692412548762602</v>
      </c>
      <c r="D104" s="3">
        <f>AVERAGE(B102:B104)</f>
        <v>6.6966222773035105</v>
      </c>
    </row>
    <row r="105" spans="1:4" x14ac:dyDescent="0.25">
      <c r="A105" s="8" t="s">
        <v>147</v>
      </c>
      <c r="B105" s="8">
        <v>6.66424883655381</v>
      </c>
    </row>
    <row r="106" spans="1:4" x14ac:dyDescent="0.25">
      <c r="A106" s="8" t="s">
        <v>146</v>
      </c>
      <c r="B106" s="8">
        <v>7.1445741847315798</v>
      </c>
    </row>
    <row r="107" spans="1:4" x14ac:dyDescent="0.25">
      <c r="A107" s="8" t="s">
        <v>145</v>
      </c>
      <c r="B107" s="8">
        <v>6.3383502035523804</v>
      </c>
      <c r="D107" s="3">
        <f>AVERAGE(B105:B107)</f>
        <v>6.7157244082792573</v>
      </c>
    </row>
    <row r="108" spans="1:4" x14ac:dyDescent="0.25">
      <c r="A108" s="8" t="s">
        <v>144</v>
      </c>
      <c r="B108" s="8">
        <v>7.1817289772248802</v>
      </c>
    </row>
    <row r="109" spans="1:4" x14ac:dyDescent="0.25">
      <c r="A109" s="8" t="s">
        <v>143</v>
      </c>
      <c r="B109" s="8">
        <v>6.5307603093176301</v>
      </c>
    </row>
    <row r="110" spans="1:4" x14ac:dyDescent="0.25">
      <c r="A110" s="8" t="s">
        <v>142</v>
      </c>
      <c r="B110" s="8">
        <v>7.0133265502487303</v>
      </c>
      <c r="D110" s="3">
        <f>AVERAGE(B108:B110)</f>
        <v>6.9086052789304135</v>
      </c>
    </row>
    <row r="111" spans="1:4" x14ac:dyDescent="0.25">
      <c r="A111" s="8" t="s">
        <v>141</v>
      </c>
      <c r="B111" s="8">
        <v>6.2823029471552996</v>
      </c>
    </row>
    <row r="112" spans="1:4" x14ac:dyDescent="0.25">
      <c r="A112" s="8" t="s">
        <v>140</v>
      </c>
      <c r="B112" s="8">
        <v>6.4900924538692299</v>
      </c>
    </row>
    <row r="113" spans="1:4" x14ac:dyDescent="0.25">
      <c r="A113" s="8" t="s">
        <v>139</v>
      </c>
      <c r="B113" s="8">
        <v>6.1606376449967497</v>
      </c>
      <c r="D113" s="3">
        <f>AVERAGE(B111:B113)</f>
        <v>6.3110110153404264</v>
      </c>
    </row>
    <row r="114" spans="1:4" x14ac:dyDescent="0.25">
      <c r="A114" s="8" t="s">
        <v>138</v>
      </c>
      <c r="B114" s="8">
        <v>7.0467287286390299</v>
      </c>
    </row>
    <row r="115" spans="1:4" x14ac:dyDescent="0.25">
      <c r="A115" s="8" t="s">
        <v>137</v>
      </c>
      <c r="B115" s="8">
        <v>6.6574464979433303</v>
      </c>
    </row>
    <row r="116" spans="1:4" x14ac:dyDescent="0.25">
      <c r="A116" s="8" t="s">
        <v>136</v>
      </c>
      <c r="B116" s="8">
        <v>6.5359319089448</v>
      </c>
      <c r="D116" s="3">
        <f>AVERAGE(B114:B116)</f>
        <v>6.7467023785090534</v>
      </c>
    </row>
    <row r="117" spans="1:4" x14ac:dyDescent="0.25">
      <c r="A117" s="8" t="s">
        <v>135</v>
      </c>
      <c r="B117" s="8">
        <v>6.53846767996734</v>
      </c>
    </row>
    <row r="118" spans="1:4" x14ac:dyDescent="0.25">
      <c r="A118" s="8" t="s">
        <v>134</v>
      </c>
      <c r="B118" s="8">
        <v>6.4402265393929801</v>
      </c>
    </row>
    <row r="119" spans="1:4" x14ac:dyDescent="0.25">
      <c r="A119" s="8" t="s">
        <v>133</v>
      </c>
      <c r="B119" s="8">
        <v>5.9373051570674296</v>
      </c>
      <c r="D119" s="3">
        <f>AVERAGE(B117:B119)</f>
        <v>6.305333125475916</v>
      </c>
    </row>
    <row r="120" spans="1:4" x14ac:dyDescent="0.25">
      <c r="A120" s="8" t="s">
        <v>132</v>
      </c>
      <c r="B120" s="8">
        <v>6.6195507723436302</v>
      </c>
    </row>
    <row r="121" spans="1:4" x14ac:dyDescent="0.25">
      <c r="A121" s="8" t="s">
        <v>131</v>
      </c>
      <c r="B121" s="8">
        <v>6.1075221013042</v>
      </c>
    </row>
    <row r="122" spans="1:4" x14ac:dyDescent="0.25">
      <c r="A122" s="8" t="s">
        <v>130</v>
      </c>
      <c r="B122" s="8">
        <v>6.7439448973704499</v>
      </c>
      <c r="D122" s="3">
        <f>AVERAGE(B120:B122)</f>
        <v>6.4903392570060943</v>
      </c>
    </row>
    <row r="123" spans="1:4" x14ac:dyDescent="0.25">
      <c r="A123" s="8" t="s">
        <v>129</v>
      </c>
      <c r="B123" s="8">
        <v>6.7312282050456398</v>
      </c>
    </row>
    <row r="124" spans="1:4" x14ac:dyDescent="0.25">
      <c r="A124" s="8" t="s">
        <v>128</v>
      </c>
      <c r="B124" s="8">
        <v>5.7414979739336198</v>
      </c>
    </row>
    <row r="125" spans="1:4" x14ac:dyDescent="0.25">
      <c r="A125" s="8" t="s">
        <v>127</v>
      </c>
      <c r="B125" s="8">
        <v>6.03783239472686</v>
      </c>
      <c r="D125" s="3">
        <f>AVERAGE(B123:B125)</f>
        <v>6.1701861912353735</v>
      </c>
    </row>
    <row r="126" spans="1:4" x14ac:dyDescent="0.25">
      <c r="A126" s="8" t="s">
        <v>126</v>
      </c>
      <c r="B126" s="8">
        <v>7.2976503398089401</v>
      </c>
    </row>
    <row r="127" spans="1:4" x14ac:dyDescent="0.25">
      <c r="A127" s="8" t="s">
        <v>125</v>
      </c>
      <c r="B127" s="8">
        <v>5.6177890978585996</v>
      </c>
    </row>
    <row r="128" spans="1:4" x14ac:dyDescent="0.25">
      <c r="A128" s="8" t="s">
        <v>124</v>
      </c>
      <c r="B128" s="8">
        <v>7.0072649306039301</v>
      </c>
      <c r="D128" s="3">
        <f>AVERAGE(B126:B128)</f>
        <v>6.6409014560904902</v>
      </c>
    </row>
    <row r="129" spans="1:4" x14ac:dyDescent="0.25">
      <c r="A129" s="8" t="s">
        <v>123</v>
      </c>
      <c r="B129" s="8">
        <v>6.4446240608504599</v>
      </c>
    </row>
    <row r="130" spans="1:4" x14ac:dyDescent="0.25">
      <c r="A130" s="8" t="s">
        <v>122</v>
      </c>
      <c r="B130" s="8">
        <v>5.2349351936306299</v>
      </c>
    </row>
    <row r="131" spans="1:4" x14ac:dyDescent="0.25">
      <c r="A131" s="8" t="s">
        <v>121</v>
      </c>
      <c r="B131" s="8">
        <v>5.16257061484822</v>
      </c>
      <c r="D131" s="3">
        <f>AVERAGE(B129:B131)</f>
        <v>5.6140432897764363</v>
      </c>
    </row>
    <row r="132" spans="1:4" x14ac:dyDescent="0.25">
      <c r="A132" s="8" t="s">
        <v>120</v>
      </c>
      <c r="B132" s="8">
        <v>5.0962638288791</v>
      </c>
    </row>
    <row r="133" spans="1:4" x14ac:dyDescent="0.25">
      <c r="A133" s="8" t="s">
        <v>119</v>
      </c>
      <c r="B133" s="8">
        <v>5.07413607392958</v>
      </c>
    </row>
    <row r="134" spans="1:4" x14ac:dyDescent="0.25">
      <c r="A134" s="8" t="s">
        <v>118</v>
      </c>
      <c r="B134" s="8">
        <v>5.9682793578955202</v>
      </c>
      <c r="D134" s="3">
        <f>AVERAGE(B132:B134)</f>
        <v>5.379559753568067</v>
      </c>
    </row>
    <row r="135" spans="1:4" x14ac:dyDescent="0.25">
      <c r="A135" s="8" t="s">
        <v>117</v>
      </c>
      <c r="B135" s="8">
        <v>5.5851354361155501</v>
      </c>
    </row>
    <row r="136" spans="1:4" x14ac:dyDescent="0.25">
      <c r="A136" s="8" t="s">
        <v>116</v>
      </c>
      <c r="B136" s="8">
        <v>5.02304363463033</v>
      </c>
    </row>
    <row r="137" spans="1:4" x14ac:dyDescent="0.25">
      <c r="A137" s="8" t="s">
        <v>115</v>
      </c>
      <c r="B137" s="8">
        <v>6.7461512876310703</v>
      </c>
      <c r="D137" s="3">
        <f>AVERAGE(B135:B137)</f>
        <v>5.7847767861256498</v>
      </c>
    </row>
    <row r="138" spans="1:4" x14ac:dyDescent="0.25">
      <c r="A138" s="8" t="s">
        <v>114</v>
      </c>
      <c r="B138" s="8">
        <v>5.8552695125328302</v>
      </c>
    </row>
    <row r="139" spans="1:4" x14ac:dyDescent="0.25">
      <c r="A139" s="8" t="s">
        <v>113</v>
      </c>
      <c r="B139" s="8">
        <v>5.2924811468470701</v>
      </c>
    </row>
    <row r="140" spans="1:4" x14ac:dyDescent="0.25">
      <c r="A140" s="8" t="s">
        <v>112</v>
      </c>
      <c r="B140" s="8">
        <v>6.03751390814279</v>
      </c>
      <c r="D140" s="3">
        <f>AVERAGE(B138:B140)</f>
        <v>5.7284215225075634</v>
      </c>
    </row>
    <row r="141" spans="1:4" x14ac:dyDescent="0.25">
      <c r="A141" s="8" t="s">
        <v>111</v>
      </c>
      <c r="B141" s="8">
        <v>6.38187120366391</v>
      </c>
    </row>
    <row r="142" spans="1:4" x14ac:dyDescent="0.25">
      <c r="A142" s="8" t="s">
        <v>110</v>
      </c>
      <c r="B142" s="8">
        <v>5.4818498399616198</v>
      </c>
    </row>
    <row r="143" spans="1:4" x14ac:dyDescent="0.25">
      <c r="A143" s="8" t="s">
        <v>109</v>
      </c>
      <c r="B143" s="8">
        <v>5.2652492471568202</v>
      </c>
      <c r="D143" s="3">
        <f>AVERAGE(B141:B143)</f>
        <v>5.7096567635941158</v>
      </c>
    </row>
    <row r="144" spans="1:4" x14ac:dyDescent="0.25">
      <c r="A144" s="8" t="s">
        <v>108</v>
      </c>
      <c r="B144" s="8">
        <v>5.7096390638830101</v>
      </c>
    </row>
    <row r="145" spans="1:4" x14ac:dyDescent="0.25">
      <c r="A145" s="8" t="s">
        <v>107</v>
      </c>
      <c r="B145" s="8">
        <v>5.5795103068337903</v>
      </c>
    </row>
    <row r="146" spans="1:4" x14ac:dyDescent="0.25">
      <c r="A146" s="8" t="s">
        <v>106</v>
      </c>
      <c r="B146" s="8">
        <v>6.2548933224488801</v>
      </c>
      <c r="D146" s="3">
        <f>AVERAGE(B144:B146)</f>
        <v>5.8480142310552266</v>
      </c>
    </row>
    <row r="147" spans="1:4" x14ac:dyDescent="0.25">
      <c r="A147" s="8" t="s">
        <v>105</v>
      </c>
      <c r="B147" s="8">
        <v>6.1635192528159903</v>
      </c>
    </row>
    <row r="148" spans="1:4" x14ac:dyDescent="0.25">
      <c r="A148" s="8" t="s">
        <v>104</v>
      </c>
      <c r="B148" s="8">
        <v>6.2590342766707296</v>
      </c>
    </row>
    <row r="149" spans="1:4" x14ac:dyDescent="0.25">
      <c r="A149" s="8" t="s">
        <v>103</v>
      </c>
      <c r="B149" s="8">
        <v>6.1274141120427599</v>
      </c>
      <c r="D149" s="3">
        <f>AVERAGE(B147:B149)</f>
        <v>6.1833225471764939</v>
      </c>
    </row>
    <row r="150" spans="1:4" x14ac:dyDescent="0.25">
      <c r="A150" s="8" t="s">
        <v>102</v>
      </c>
      <c r="B150" s="8">
        <v>6.2995187869022304</v>
      </c>
    </row>
    <row r="151" spans="1:4" x14ac:dyDescent="0.25">
      <c r="A151" s="8" t="s">
        <v>101</v>
      </c>
      <c r="B151" s="8">
        <v>6.1425463839473302</v>
      </c>
    </row>
    <row r="152" spans="1:4" x14ac:dyDescent="0.25">
      <c r="A152" s="8" t="s">
        <v>100</v>
      </c>
      <c r="B152" s="8">
        <v>6.0759814053931001</v>
      </c>
      <c r="D152" s="3">
        <f>AVERAGE(B150:B152)</f>
        <v>6.1726821920808872</v>
      </c>
    </row>
    <row r="153" spans="1:4" x14ac:dyDescent="0.25">
      <c r="A153" s="8" t="s">
        <v>99</v>
      </c>
      <c r="B153" s="8">
        <v>5.8238959628515801</v>
      </c>
    </row>
    <row r="154" spans="1:4" x14ac:dyDescent="0.25">
      <c r="A154" s="8" t="s">
        <v>98</v>
      </c>
      <c r="B154" s="8">
        <v>5.8334824229613202</v>
      </c>
    </row>
    <row r="155" spans="1:4" x14ac:dyDescent="0.25">
      <c r="A155" s="8" t="s">
        <v>97</v>
      </c>
      <c r="B155" s="8">
        <v>5.8082797678316398</v>
      </c>
      <c r="D155" s="3">
        <f>AVERAGE(B153:B155)</f>
        <v>5.8218860512148467</v>
      </c>
    </row>
    <row r="156" spans="1:4" x14ac:dyDescent="0.25">
      <c r="A156" s="8" t="s">
        <v>96</v>
      </c>
      <c r="B156" s="8">
        <v>6.13160019818742</v>
      </c>
    </row>
    <row r="157" spans="1:4" x14ac:dyDescent="0.25">
      <c r="A157" s="8" t="s">
        <v>95</v>
      </c>
      <c r="B157" s="8">
        <v>5.8518721008669603</v>
      </c>
    </row>
    <row r="158" spans="1:4" x14ac:dyDescent="0.25">
      <c r="A158" s="8" t="s">
        <v>94</v>
      </c>
      <c r="B158" s="8">
        <v>5.6382548427569903</v>
      </c>
      <c r="D158" s="3">
        <f>AVERAGE(B156:B158)</f>
        <v>5.8739090472704563</v>
      </c>
    </row>
    <row r="159" spans="1:4" x14ac:dyDescent="0.25">
      <c r="A159" s="8" t="s">
        <v>93</v>
      </c>
      <c r="B159" s="8">
        <v>5.5779632314551302</v>
      </c>
    </row>
    <row r="160" spans="1:4" x14ac:dyDescent="0.25">
      <c r="A160" s="8" t="s">
        <v>92</v>
      </c>
      <c r="B160" s="8">
        <v>5.5796472795130398</v>
      </c>
    </row>
    <row r="161" spans="1:4" x14ac:dyDescent="0.25">
      <c r="A161" s="8" t="s">
        <v>91</v>
      </c>
      <c r="B161" s="8">
        <v>6.5930095534113304</v>
      </c>
      <c r="D161" s="3">
        <f>AVERAGE(B159:B161)</f>
        <v>5.9168733547931671</v>
      </c>
    </row>
    <row r="162" spans="1:4" x14ac:dyDescent="0.25">
      <c r="A162" s="8" t="s">
        <v>90</v>
      </c>
      <c r="B162" s="8">
        <v>5.5243786272591704</v>
      </c>
    </row>
    <row r="163" spans="1:4" x14ac:dyDescent="0.25">
      <c r="A163" s="8" t="s">
        <v>89</v>
      </c>
      <c r="B163" s="8">
        <v>5.4059957287824103</v>
      </c>
    </row>
    <row r="164" spans="1:4" x14ac:dyDescent="0.25">
      <c r="A164" s="8" t="s">
        <v>88</v>
      </c>
      <c r="B164" s="8">
        <v>6.0030086069189403</v>
      </c>
      <c r="D164" s="3">
        <f>AVERAGE(B162:B164)</f>
        <v>5.644460987653507</v>
      </c>
    </row>
    <row r="165" spans="1:4" x14ac:dyDescent="0.25">
      <c r="A165" s="8" t="s">
        <v>87</v>
      </c>
      <c r="B165" s="8">
        <v>5.6238339478334396</v>
      </c>
    </row>
    <row r="166" spans="1:4" x14ac:dyDescent="0.25">
      <c r="A166" s="8" t="s">
        <v>86</v>
      </c>
      <c r="B166" s="8">
        <v>5.1441494468372202</v>
      </c>
    </row>
    <row r="167" spans="1:4" x14ac:dyDescent="0.25">
      <c r="A167" s="8" t="s">
        <v>85</v>
      </c>
      <c r="B167" s="8">
        <v>5.2755056628645098</v>
      </c>
      <c r="D167" s="3">
        <f>AVERAGE(B165:B167)</f>
        <v>5.3478296858450562</v>
      </c>
    </row>
    <row r="168" spans="1:4" x14ac:dyDescent="0.25">
      <c r="A168" s="8" t="s">
        <v>84</v>
      </c>
      <c r="B168" s="8">
        <v>5.2806893198255302</v>
      </c>
    </row>
    <row r="169" spans="1:4" x14ac:dyDescent="0.25">
      <c r="A169" s="8" t="s">
        <v>83</v>
      </c>
      <c r="B169" s="8">
        <v>5.6321088175705496</v>
      </c>
    </row>
    <row r="170" spans="1:4" x14ac:dyDescent="0.25">
      <c r="A170" s="8" t="s">
        <v>82</v>
      </c>
      <c r="B170" s="8">
        <v>5.8639284815498396</v>
      </c>
      <c r="D170" s="3">
        <f>AVERAGE(B168:B170)</f>
        <v>5.5922422063153077</v>
      </c>
    </row>
    <row r="171" spans="1:4" x14ac:dyDescent="0.25">
      <c r="A171" s="8" t="s">
        <v>81</v>
      </c>
      <c r="B171" s="8">
        <v>5.12151832936184</v>
      </c>
    </row>
    <row r="172" spans="1:4" x14ac:dyDescent="0.25">
      <c r="A172" s="8" t="s">
        <v>80</v>
      </c>
      <c r="B172" s="8">
        <v>5.2144759405341201</v>
      </c>
    </row>
    <row r="173" spans="1:4" x14ac:dyDescent="0.25">
      <c r="A173" s="8" t="s">
        <v>79</v>
      </c>
      <c r="B173" s="8">
        <v>5.6845782529245401</v>
      </c>
      <c r="D173" s="3">
        <f>AVERAGE(B171:B173)</f>
        <v>5.340190840940167</v>
      </c>
    </row>
    <row r="174" spans="1:4" x14ac:dyDescent="0.25">
      <c r="A174" s="8" t="s">
        <v>78</v>
      </c>
      <c r="B174" s="8">
        <v>5.2790600033452204</v>
      </c>
    </row>
    <row r="175" spans="1:4" x14ac:dyDescent="0.25">
      <c r="A175" s="8" t="s">
        <v>77</v>
      </c>
      <c r="B175" s="8">
        <v>5.0602950677943896</v>
      </c>
    </row>
    <row r="176" spans="1:4" x14ac:dyDescent="0.25">
      <c r="A176" s="8" t="s">
        <v>76</v>
      </c>
      <c r="B176" s="8">
        <v>5.03263881962474</v>
      </c>
      <c r="D176" s="3">
        <f>AVERAGE(B174:B176)</f>
        <v>5.123997963588117</v>
      </c>
    </row>
    <row r="177" spans="1:4" x14ac:dyDescent="0.25">
      <c r="A177" s="8" t="s">
        <v>75</v>
      </c>
      <c r="B177" s="8">
        <v>5.54258074113178</v>
      </c>
    </row>
    <row r="178" spans="1:4" x14ac:dyDescent="0.25">
      <c r="A178" s="8" t="s">
        <v>74</v>
      </c>
      <c r="B178" s="8">
        <v>5.1950187179735998</v>
      </c>
    </row>
    <row r="179" spans="1:4" x14ac:dyDescent="0.25">
      <c r="A179" s="8" t="s">
        <v>73</v>
      </c>
      <c r="B179" s="8">
        <v>4.9725845767129098</v>
      </c>
      <c r="D179" s="3">
        <f>AVERAGE(B177:B179)</f>
        <v>5.2367280119394293</v>
      </c>
    </row>
    <row r="180" spans="1:4" x14ac:dyDescent="0.25">
      <c r="A180" s="8" t="s">
        <v>72</v>
      </c>
      <c r="B180" s="8">
        <v>5.0175615852386901</v>
      </c>
    </row>
    <row r="181" spans="1:4" x14ac:dyDescent="0.25">
      <c r="A181" s="8" t="s">
        <v>71</v>
      </c>
      <c r="B181" s="8">
        <v>5.0273117385630597</v>
      </c>
    </row>
    <row r="182" spans="1:4" x14ac:dyDescent="0.25">
      <c r="A182" s="8" t="s">
        <v>70</v>
      </c>
      <c r="B182" s="8">
        <v>5.0445961440691596</v>
      </c>
      <c r="D182" s="3">
        <f>AVERAGE(B180:B182)</f>
        <v>5.0298231559569695</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29A4-3001-4837-A18D-9912015CA0FE}">
  <dimension ref="A1:I17"/>
  <sheetViews>
    <sheetView workbookViewId="0">
      <selection activeCell="H23" sqref="H23"/>
    </sheetView>
  </sheetViews>
  <sheetFormatPr baseColWidth="10" defaultRowHeight="15" x14ac:dyDescent="0.25"/>
  <cols>
    <col min="2" max="2" width="14.5703125" bestFit="1" customWidth="1"/>
    <col min="3" max="3" width="18" customWidth="1"/>
    <col min="5" max="5" width="18.140625" style="1" customWidth="1"/>
    <col min="9" max="9" width="14.5703125" customWidth="1"/>
  </cols>
  <sheetData>
    <row r="1" spans="1:9" x14ac:dyDescent="0.25">
      <c r="B1" t="s">
        <v>5</v>
      </c>
      <c r="C1" s="19" t="s">
        <v>2</v>
      </c>
      <c r="D1" s="19"/>
      <c r="E1" s="1" t="s">
        <v>3</v>
      </c>
      <c r="H1" s="1" t="s">
        <v>261</v>
      </c>
      <c r="I1" t="s">
        <v>260</v>
      </c>
    </row>
    <row r="2" spans="1:9" x14ac:dyDescent="0.25">
      <c r="A2" t="s">
        <v>6</v>
      </c>
      <c r="B2" t="s">
        <v>1</v>
      </c>
      <c r="C2" s="1" t="s">
        <v>4</v>
      </c>
      <c r="D2" s="1" t="s">
        <v>0</v>
      </c>
      <c r="E2" s="1" t="s">
        <v>69</v>
      </c>
      <c r="H2" s="6">
        <v>72484.560307583335</v>
      </c>
      <c r="I2" s="13">
        <v>51767.887881130002</v>
      </c>
    </row>
    <row r="3" spans="1:9" x14ac:dyDescent="0.25">
      <c r="A3" s="2">
        <v>2010</v>
      </c>
      <c r="B3" s="6">
        <v>95517.258135503856</v>
      </c>
      <c r="C3" s="10">
        <v>0.164558322981118</v>
      </c>
      <c r="D3" s="10">
        <v>0.03</v>
      </c>
      <c r="E3" s="7">
        <v>55063608693</v>
      </c>
      <c r="H3" s="6">
        <v>87394.226075500002</v>
      </c>
      <c r="I3" s="13">
        <v>62528.978000000003</v>
      </c>
    </row>
    <row r="4" spans="1:9" x14ac:dyDescent="0.25">
      <c r="A4" s="2">
        <v>2011</v>
      </c>
      <c r="B4" s="6">
        <v>101561.68783383397</v>
      </c>
      <c r="C4" s="10">
        <v>0.17584297120721998</v>
      </c>
      <c r="D4" s="10">
        <v>4.2500000000000003E-2</v>
      </c>
      <c r="E4" s="7">
        <v>52486546951</v>
      </c>
      <c r="H4" s="6">
        <v>106655.67904466666</v>
      </c>
      <c r="I4" s="13">
        <v>71783.278999999995</v>
      </c>
    </row>
    <row r="5" spans="1:9" x14ac:dyDescent="0.25">
      <c r="A5" s="2">
        <v>2012</v>
      </c>
      <c r="B5" s="6">
        <v>107797.35965894176</v>
      </c>
      <c r="C5" s="10">
        <v>0.226439927929702</v>
      </c>
      <c r="D5" s="10">
        <v>4.2500000000000003E-2</v>
      </c>
      <c r="E5" s="7">
        <v>59087733448</v>
      </c>
      <c r="H5" s="6">
        <v>125653.32483533336</v>
      </c>
      <c r="I5" s="13">
        <v>90280.846000000005</v>
      </c>
    </row>
    <row r="6" spans="1:9" x14ac:dyDescent="0.25">
      <c r="A6" s="2">
        <v>2013</v>
      </c>
      <c r="B6" s="6">
        <v>114105.76081213975</v>
      </c>
      <c r="C6" s="10">
        <v>0.16490112159089201</v>
      </c>
      <c r="D6" s="10">
        <v>0.04</v>
      </c>
      <c r="E6" s="7">
        <v>58987302409</v>
      </c>
      <c r="H6" s="6">
        <v>136293.06507450002</v>
      </c>
      <c r="I6" s="13">
        <v>108271.139</v>
      </c>
    </row>
    <row r="7" spans="1:9" x14ac:dyDescent="0.25">
      <c r="A7" s="2">
        <v>2014</v>
      </c>
      <c r="B7" s="6">
        <v>116825.7349415355</v>
      </c>
      <c r="C7" s="10">
        <v>0.13074052494962199</v>
      </c>
      <c r="D7" s="10">
        <v>3.5000000000000003E-2</v>
      </c>
      <c r="E7" s="7">
        <v>66545753986</v>
      </c>
      <c r="H7" s="6">
        <v>143106.38906833334</v>
      </c>
      <c r="I7" s="13">
        <v>146659.859</v>
      </c>
    </row>
    <row r="8" spans="1:9" x14ac:dyDescent="0.25">
      <c r="A8" s="2">
        <v>2015</v>
      </c>
      <c r="B8" s="6">
        <v>120623.84598921075</v>
      </c>
      <c r="C8" s="10">
        <v>9.2173847041621695E-2</v>
      </c>
      <c r="D8" s="10">
        <v>3.7499999999999999E-2</v>
      </c>
      <c r="E8" s="7">
        <v>80708282465</v>
      </c>
      <c r="H8" s="6">
        <v>153805.35901641665</v>
      </c>
      <c r="I8" s="13">
        <v>155474.52100000001</v>
      </c>
    </row>
    <row r="9" spans="1:9" x14ac:dyDescent="0.25">
      <c r="A9" s="2">
        <v>2016</v>
      </c>
      <c r="B9" s="6">
        <v>125392.91503828226</v>
      </c>
      <c r="C9" s="10">
        <v>7.9418446817247801E-2</v>
      </c>
      <c r="D9" s="10">
        <v>4.2500000000000003E-2</v>
      </c>
      <c r="E9" s="7">
        <v>87987718738</v>
      </c>
      <c r="H9" s="6">
        <v>203493.16396708335</v>
      </c>
      <c r="I9" s="13">
        <v>159786.96</v>
      </c>
    </row>
    <row r="10" spans="1:9" x14ac:dyDescent="0.25">
      <c r="A10" s="2">
        <v>2017</v>
      </c>
      <c r="B10" s="6">
        <v>128551.27472602899</v>
      </c>
      <c r="C10" s="10">
        <v>7.5895178096413995E-2</v>
      </c>
      <c r="D10" s="10">
        <v>3.2500000000000001E-2</v>
      </c>
      <c r="E10" s="7">
        <v>90240224735</v>
      </c>
      <c r="H10" s="6">
        <v>229040.58558874999</v>
      </c>
      <c r="I10" s="13">
        <v>178437.027</v>
      </c>
    </row>
    <row r="11" spans="1:9" x14ac:dyDescent="0.25">
      <c r="A11" s="2">
        <v>2018</v>
      </c>
      <c r="B11" s="6">
        <v>133653.95386479725</v>
      </c>
      <c r="C11" s="10">
        <v>7.0133265502487302E-2</v>
      </c>
      <c r="D11" s="10">
        <v>2.75E-2</v>
      </c>
      <c r="E11" s="7">
        <v>92299882532</v>
      </c>
      <c r="H11" s="6">
        <v>215049.02166666667</v>
      </c>
      <c r="I11" s="13">
        <v>195667.71900000001</v>
      </c>
    </row>
    <row r="12" spans="1:9" x14ac:dyDescent="0.25">
      <c r="A12" s="2">
        <v>2019</v>
      </c>
      <c r="B12" s="6">
        <v>136648.36354567099</v>
      </c>
      <c r="C12" s="10">
        <v>6.7439448973704505E-2</v>
      </c>
      <c r="D12" s="10">
        <v>2.2499999999999999E-2</v>
      </c>
      <c r="E12" s="7">
        <v>91582523271</v>
      </c>
      <c r="H12" s="6">
        <v>275577.35522380017</v>
      </c>
      <c r="I12" s="13">
        <v>240580.84599999999</v>
      </c>
    </row>
    <row r="13" spans="1:9" x14ac:dyDescent="0.25">
      <c r="A13" s="2">
        <v>2020</v>
      </c>
      <c r="B13" s="6">
        <v>121702.28833092772</v>
      </c>
      <c r="C13" s="10">
        <v>5.9682793578955201E-2</v>
      </c>
      <c r="D13" s="10">
        <v>2.5000000000000001E-3</v>
      </c>
      <c r="E13" s="7">
        <v>103577296207</v>
      </c>
      <c r="H13" s="6">
        <v>307934.17418005515</v>
      </c>
      <c r="I13" s="13">
        <v>254828.63500000001</v>
      </c>
    </row>
    <row r="14" spans="1:9" x14ac:dyDescent="0.25">
      <c r="A14" s="2">
        <v>2021</v>
      </c>
      <c r="B14" s="6">
        <v>137970.03845377275</v>
      </c>
      <c r="C14" s="10">
        <v>6.2548933224488804E-2</v>
      </c>
      <c r="D14" s="10">
        <v>2.5000000000000001E-2</v>
      </c>
      <c r="E14" s="7">
        <v>136000675302</v>
      </c>
      <c r="H14" s="6">
        <v>301340.27838709962</v>
      </c>
      <c r="I14" s="13">
        <v>255909.212</v>
      </c>
    </row>
    <row r="15" spans="1:9" x14ac:dyDescent="0.25">
      <c r="A15" s="2">
        <v>2022</v>
      </c>
      <c r="B15" s="6">
        <v>141847.04646721523</v>
      </c>
      <c r="C15" s="10">
        <v>5.6382548427569901E-2</v>
      </c>
      <c r="D15" s="10">
        <v>7.4999999999999997E-2</v>
      </c>
      <c r="E15" s="7">
        <v>124546076915</v>
      </c>
      <c r="H15" s="6">
        <v>305575.60996088613</v>
      </c>
      <c r="I15" s="13">
        <v>252096.40599999999</v>
      </c>
    </row>
    <row r="16" spans="1:9" x14ac:dyDescent="0.25">
      <c r="A16" s="2">
        <v>2023</v>
      </c>
      <c r="B16" s="6">
        <v>141275.29755095925</v>
      </c>
      <c r="C16" s="10">
        <v>5.8639284815498398E-2</v>
      </c>
      <c r="D16" s="10">
        <v>6.7500000000000004E-2</v>
      </c>
      <c r="E16" s="7">
        <v>106309439897</v>
      </c>
      <c r="H16" s="6">
        <v>333019.37876780849</v>
      </c>
      <c r="I16" s="13">
        <v>253193.11900000001</v>
      </c>
    </row>
    <row r="17" spans="1:5" x14ac:dyDescent="0.25">
      <c r="A17" s="2">
        <v>2024</v>
      </c>
      <c r="B17" s="6">
        <v>145941.57764686001</v>
      </c>
      <c r="C17" s="10">
        <v>5.0445961440691599E-2</v>
      </c>
      <c r="D17" s="10">
        <v>0.05</v>
      </c>
      <c r="E17" s="7">
        <v>112135129036</v>
      </c>
    </row>
  </sheetData>
  <mergeCells count="1">
    <mergeCell ref="C1:D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2EB5-5C41-4F60-8CD3-A1C0F0D4EE66}">
  <dimension ref="A1:B182"/>
  <sheetViews>
    <sheetView workbookViewId="0">
      <selection activeCell="E21" sqref="E21"/>
    </sheetView>
  </sheetViews>
  <sheetFormatPr baseColWidth="10" defaultColWidth="9.140625" defaultRowHeight="15" x14ac:dyDescent="0.25"/>
  <cols>
    <col min="1" max="1" width="9.140625" style="3"/>
    <col min="2" max="2" width="10" style="4" bestFit="1" customWidth="1"/>
    <col min="3" max="16384" width="9.140625" style="3"/>
  </cols>
  <sheetData>
    <row r="1" spans="1:2" x14ac:dyDescent="0.25">
      <c r="B1" s="4" t="s">
        <v>255</v>
      </c>
    </row>
    <row r="2" spans="1:2" x14ac:dyDescent="0.25">
      <c r="B2" s="4" t="s">
        <v>254</v>
      </c>
    </row>
    <row r="3" spans="1:2" x14ac:dyDescent="0.25">
      <c r="A3" s="3" t="s">
        <v>249</v>
      </c>
      <c r="B3" s="4">
        <v>18468.512200000001</v>
      </c>
    </row>
    <row r="4" spans="1:2" x14ac:dyDescent="0.25">
      <c r="A4" s="3" t="s">
        <v>248</v>
      </c>
      <c r="B4" s="4">
        <v>18488.5239</v>
      </c>
    </row>
    <row r="5" spans="1:2" x14ac:dyDescent="0.25">
      <c r="A5" s="3" t="s">
        <v>247</v>
      </c>
      <c r="B5" s="4">
        <v>18859.5821</v>
      </c>
    </row>
    <row r="6" spans="1:2" x14ac:dyDescent="0.25">
      <c r="A6" s="3" t="s">
        <v>246</v>
      </c>
      <c r="B6" s="4">
        <v>19238.022099999998</v>
      </c>
    </row>
    <row r="7" spans="1:2" x14ac:dyDescent="0.25">
      <c r="A7" s="3" t="s">
        <v>245</v>
      </c>
      <c r="B7" s="4">
        <v>19432.822400000001</v>
      </c>
    </row>
    <row r="8" spans="1:2" x14ac:dyDescent="0.25">
      <c r="A8" s="3" t="s">
        <v>244</v>
      </c>
      <c r="B8" s="4">
        <v>19602.164100000002</v>
      </c>
    </row>
    <row r="9" spans="1:2" x14ac:dyDescent="0.25">
      <c r="A9" s="3" t="s">
        <v>243</v>
      </c>
      <c r="B9" s="4">
        <v>21116.098699999999</v>
      </c>
    </row>
    <row r="10" spans="1:2" x14ac:dyDescent="0.25">
      <c r="A10" s="3" t="s">
        <v>242</v>
      </c>
      <c r="B10" s="4">
        <v>20931.164400000001</v>
      </c>
    </row>
    <row r="11" spans="1:2" x14ac:dyDescent="0.25">
      <c r="A11" s="3" t="s">
        <v>241</v>
      </c>
      <c r="B11" s="4">
        <v>20801.682700000001</v>
      </c>
    </row>
    <row r="12" spans="1:2" x14ac:dyDescent="0.25">
      <c r="A12" s="3" t="s">
        <v>240</v>
      </c>
      <c r="B12" s="4">
        <v>21467.5645</v>
      </c>
    </row>
    <row r="13" spans="1:2" x14ac:dyDescent="0.25">
      <c r="A13" s="3" t="s">
        <v>239</v>
      </c>
      <c r="B13" s="4">
        <v>21746.3004</v>
      </c>
    </row>
    <row r="14" spans="1:2" s="11" customFormat="1" x14ac:dyDescent="0.25">
      <c r="A14" s="11" t="s">
        <v>238</v>
      </c>
      <c r="B14" s="12">
        <v>24131.355</v>
      </c>
    </row>
    <row r="15" spans="1:2" x14ac:dyDescent="0.25">
      <c r="A15" s="3" t="s">
        <v>237</v>
      </c>
      <c r="B15" s="4">
        <v>22976.0088</v>
      </c>
    </row>
    <row r="16" spans="1:2" x14ac:dyDescent="0.25">
      <c r="A16" s="3" t="s">
        <v>236</v>
      </c>
      <c r="B16" s="4">
        <v>22961.839800000002</v>
      </c>
    </row>
    <row r="17" spans="1:2" x14ac:dyDescent="0.25">
      <c r="A17" s="3" t="s">
        <v>235</v>
      </c>
      <c r="B17" s="4">
        <v>22619.839499999998</v>
      </c>
    </row>
    <row r="18" spans="1:2" x14ac:dyDescent="0.25">
      <c r="A18" s="3" t="s">
        <v>234</v>
      </c>
      <c r="B18" s="4">
        <v>23242.2297</v>
      </c>
    </row>
    <row r="19" spans="1:2" x14ac:dyDescent="0.25">
      <c r="A19" s="3" t="s">
        <v>233</v>
      </c>
      <c r="B19" s="4">
        <v>23221.108800000002</v>
      </c>
    </row>
    <row r="20" spans="1:2" x14ac:dyDescent="0.25">
      <c r="A20" s="3" t="s">
        <v>232</v>
      </c>
      <c r="B20" s="4">
        <v>23409.252799999998</v>
      </c>
    </row>
    <row r="21" spans="1:2" x14ac:dyDescent="0.25">
      <c r="A21" s="3" t="s">
        <v>231</v>
      </c>
      <c r="B21" s="4">
        <v>25221.741900000001</v>
      </c>
    </row>
    <row r="22" spans="1:2" x14ac:dyDescent="0.25">
      <c r="A22" s="3" t="s">
        <v>230</v>
      </c>
      <c r="B22" s="4">
        <v>24770.8894</v>
      </c>
    </row>
    <row r="23" spans="1:2" x14ac:dyDescent="0.25">
      <c r="A23" s="3" t="s">
        <v>229</v>
      </c>
      <c r="B23" s="4">
        <v>24730.348699999999</v>
      </c>
    </row>
    <row r="24" spans="1:2" x14ac:dyDescent="0.25">
      <c r="A24" s="3" t="s">
        <v>228</v>
      </c>
      <c r="B24" s="4">
        <v>25287.690699999999</v>
      </c>
    </row>
    <row r="25" spans="1:2" x14ac:dyDescent="0.25">
      <c r="A25" s="3" t="s">
        <v>227</v>
      </c>
      <c r="B25" s="4">
        <v>24963.091899999999</v>
      </c>
    </row>
    <row r="26" spans="1:2" s="11" customFormat="1" x14ac:dyDescent="0.25">
      <c r="A26" s="11" t="s">
        <v>226</v>
      </c>
      <c r="B26" s="12">
        <v>27260.925599999999</v>
      </c>
    </row>
    <row r="27" spans="1:2" x14ac:dyDescent="0.25">
      <c r="A27" s="3" t="s">
        <v>225</v>
      </c>
      <c r="B27" s="4">
        <v>26650.747299999999</v>
      </c>
    </row>
    <row r="28" spans="1:2" x14ac:dyDescent="0.25">
      <c r="A28" s="3" t="s">
        <v>224</v>
      </c>
      <c r="B28" s="4">
        <v>26603.946800000002</v>
      </c>
    </row>
    <row r="29" spans="1:2" x14ac:dyDescent="0.25">
      <c r="A29" s="3" t="s">
        <v>223</v>
      </c>
      <c r="B29" s="4">
        <v>26700.287499999999</v>
      </c>
    </row>
    <row r="30" spans="1:2" x14ac:dyDescent="0.25">
      <c r="A30" s="3" t="s">
        <v>222</v>
      </c>
      <c r="B30" s="4">
        <v>27020.207399999999</v>
      </c>
    </row>
    <row r="31" spans="1:2" x14ac:dyDescent="0.25">
      <c r="A31" s="3" t="s">
        <v>221</v>
      </c>
      <c r="B31" s="4">
        <v>26593.3125</v>
      </c>
    </row>
    <row r="32" spans="1:2" x14ac:dyDescent="0.25">
      <c r="A32" s="3" t="s">
        <v>220</v>
      </c>
      <c r="B32" s="4">
        <v>27078.7382</v>
      </c>
    </row>
    <row r="33" spans="1:2" x14ac:dyDescent="0.25">
      <c r="A33" s="3" t="s">
        <v>219</v>
      </c>
      <c r="B33" s="4">
        <v>28290.455099999999</v>
      </c>
    </row>
    <row r="34" spans="1:2" x14ac:dyDescent="0.25">
      <c r="A34" s="3" t="s">
        <v>218</v>
      </c>
      <c r="B34" s="4">
        <v>28190.153699999999</v>
      </c>
    </row>
    <row r="35" spans="1:2" x14ac:dyDescent="0.25">
      <c r="A35" s="3" t="s">
        <v>217</v>
      </c>
      <c r="B35" s="4">
        <v>28462.354899999998</v>
      </c>
    </row>
    <row r="36" spans="1:2" x14ac:dyDescent="0.25">
      <c r="A36" s="3" t="s">
        <v>216</v>
      </c>
      <c r="B36" s="4">
        <v>29026.0857</v>
      </c>
    </row>
    <row r="37" spans="1:2" x14ac:dyDescent="0.25">
      <c r="A37" s="3" t="s">
        <v>215</v>
      </c>
      <c r="B37" s="4">
        <v>29149.2713</v>
      </c>
    </row>
    <row r="38" spans="1:2" s="11" customFormat="1" x14ac:dyDescent="0.25">
      <c r="A38" s="11" t="s">
        <v>214</v>
      </c>
      <c r="B38" s="12">
        <v>32244.416285570001</v>
      </c>
    </row>
    <row r="39" spans="1:2" x14ac:dyDescent="0.25">
      <c r="A39" s="3" t="s">
        <v>213</v>
      </c>
      <c r="B39" s="4">
        <v>30947.645563599999</v>
      </c>
    </row>
    <row r="40" spans="1:2" x14ac:dyDescent="0.25">
      <c r="A40" s="3" t="s">
        <v>212</v>
      </c>
      <c r="B40" s="4">
        <v>30940.226366679999</v>
      </c>
    </row>
    <row r="41" spans="1:2" x14ac:dyDescent="0.25">
      <c r="A41" s="3" t="s">
        <v>211</v>
      </c>
      <c r="B41" s="4">
        <v>31400.60210815</v>
      </c>
    </row>
    <row r="42" spans="1:2" x14ac:dyDescent="0.25">
      <c r="A42" s="3" t="s">
        <v>210</v>
      </c>
      <c r="B42" s="4">
        <v>31412.56902327</v>
      </c>
    </row>
    <row r="43" spans="1:2" x14ac:dyDescent="0.25">
      <c r="A43" s="3" t="s">
        <v>209</v>
      </c>
      <c r="B43" s="4">
        <v>31191.965192029998</v>
      </c>
    </row>
    <row r="44" spans="1:2" x14ac:dyDescent="0.25">
      <c r="A44" s="3" t="s">
        <v>208</v>
      </c>
      <c r="B44" s="4">
        <v>31477.876529239998</v>
      </c>
    </row>
    <row r="45" spans="1:2" x14ac:dyDescent="0.25">
      <c r="A45" s="3" t="s">
        <v>207</v>
      </c>
      <c r="B45" s="4">
        <v>32861.787378369998</v>
      </c>
    </row>
    <row r="46" spans="1:2" x14ac:dyDescent="0.25">
      <c r="A46" s="3" t="s">
        <v>206</v>
      </c>
      <c r="B46" s="4">
        <v>32861.493243869998</v>
      </c>
    </row>
    <row r="47" spans="1:2" x14ac:dyDescent="0.25">
      <c r="A47" s="3" t="s">
        <v>205</v>
      </c>
      <c r="B47" s="4">
        <v>32246.352580760002</v>
      </c>
    </row>
    <row r="48" spans="1:2" x14ac:dyDescent="0.25">
      <c r="A48" s="3" t="s">
        <v>204</v>
      </c>
      <c r="B48" s="4">
        <v>32454.612310920002</v>
      </c>
    </row>
    <row r="49" spans="1:2" x14ac:dyDescent="0.25">
      <c r="A49" s="3" t="s">
        <v>203</v>
      </c>
      <c r="B49" s="4">
        <v>32709.852818390002</v>
      </c>
    </row>
    <row r="50" spans="1:2" s="11" customFormat="1" x14ac:dyDescent="0.25">
      <c r="A50" s="11" t="s">
        <v>202</v>
      </c>
      <c r="B50" s="12">
        <v>35144.372778459998</v>
      </c>
    </row>
    <row r="51" spans="1:2" x14ac:dyDescent="0.25">
      <c r="A51" s="3" t="s">
        <v>201</v>
      </c>
      <c r="B51" s="4">
        <v>34153.967414879997</v>
      </c>
    </row>
    <row r="52" spans="1:2" x14ac:dyDescent="0.25">
      <c r="A52" s="3" t="s">
        <v>200</v>
      </c>
      <c r="B52" s="4">
        <v>33857.757695990003</v>
      </c>
    </row>
    <row r="53" spans="1:2" x14ac:dyDescent="0.25">
      <c r="A53" s="3" t="s">
        <v>199</v>
      </c>
      <c r="B53" s="4">
        <v>34074.31385513</v>
      </c>
    </row>
    <row r="54" spans="1:2" x14ac:dyDescent="0.25">
      <c r="A54" s="3" t="s">
        <v>198</v>
      </c>
      <c r="B54" s="4">
        <v>33774.684787689999</v>
      </c>
    </row>
    <row r="55" spans="1:2" x14ac:dyDescent="0.25">
      <c r="A55" s="3" t="s">
        <v>197</v>
      </c>
      <c r="B55" s="4">
        <v>33658.082200390003</v>
      </c>
    </row>
    <row r="56" spans="1:2" x14ac:dyDescent="0.25">
      <c r="A56" s="3" t="s">
        <v>196</v>
      </c>
      <c r="B56" s="4">
        <v>33907.49480606</v>
      </c>
    </row>
    <row r="57" spans="1:2" x14ac:dyDescent="0.25">
      <c r="A57" s="3" t="s">
        <v>195</v>
      </c>
      <c r="B57" s="4">
        <v>35593.639061269998</v>
      </c>
    </row>
    <row r="58" spans="1:2" x14ac:dyDescent="0.25">
      <c r="A58" s="3" t="s">
        <v>194</v>
      </c>
      <c r="B58" s="4">
        <v>35697.372319100003</v>
      </c>
    </row>
    <row r="59" spans="1:2" x14ac:dyDescent="0.25">
      <c r="A59" s="3" t="s">
        <v>193</v>
      </c>
      <c r="B59" s="4">
        <v>35632.365355629998</v>
      </c>
    </row>
    <row r="60" spans="1:2" x14ac:dyDescent="0.25">
      <c r="A60" s="3" t="s">
        <v>192</v>
      </c>
      <c r="B60" s="4">
        <v>35911.49089822</v>
      </c>
    </row>
    <row r="61" spans="1:2" x14ac:dyDescent="0.25">
      <c r="A61" s="3" t="s">
        <v>191</v>
      </c>
      <c r="B61" s="4">
        <v>36051.874702749999</v>
      </c>
    </row>
    <row r="62" spans="1:2" s="11" customFormat="1" x14ac:dyDescent="0.25">
      <c r="A62" s="11" t="s">
        <v>190</v>
      </c>
      <c r="B62" s="12">
        <v>39172.858057040001</v>
      </c>
    </row>
    <row r="63" spans="1:2" x14ac:dyDescent="0.25">
      <c r="A63" s="3" t="s">
        <v>189</v>
      </c>
      <c r="B63" s="4">
        <v>37886.087124769998</v>
      </c>
    </row>
    <row r="64" spans="1:2" x14ac:dyDescent="0.25">
      <c r="A64" s="3" t="s">
        <v>188</v>
      </c>
      <c r="B64" s="4">
        <v>37823.522795650002</v>
      </c>
    </row>
    <row r="65" spans="1:2" x14ac:dyDescent="0.25">
      <c r="A65" s="3" t="s">
        <v>187</v>
      </c>
      <c r="B65" s="4">
        <v>36949.160182289997</v>
      </c>
    </row>
    <row r="66" spans="1:2" x14ac:dyDescent="0.25">
      <c r="A66" s="3" t="s">
        <v>186</v>
      </c>
      <c r="B66" s="4">
        <v>36835.36227808</v>
      </c>
    </row>
    <row r="67" spans="1:2" x14ac:dyDescent="0.25">
      <c r="A67" s="3" t="s">
        <v>185</v>
      </c>
      <c r="B67" s="4">
        <v>37334.222787079998</v>
      </c>
    </row>
    <row r="68" spans="1:2" x14ac:dyDescent="0.25">
      <c r="A68" s="3" t="s">
        <v>184</v>
      </c>
      <c r="B68" s="4">
        <v>36853.85043097</v>
      </c>
    </row>
    <row r="69" spans="1:2" x14ac:dyDescent="0.25">
      <c r="A69" s="3" t="s">
        <v>183</v>
      </c>
      <c r="B69" s="4">
        <v>38370.807854610001</v>
      </c>
    </row>
    <row r="70" spans="1:2" x14ac:dyDescent="0.25">
      <c r="A70" s="3" t="s">
        <v>182</v>
      </c>
      <c r="B70" s="4">
        <v>37746.44959507</v>
      </c>
    </row>
    <row r="71" spans="1:2" x14ac:dyDescent="0.25">
      <c r="A71" s="3" t="s">
        <v>181</v>
      </c>
      <c r="B71" s="4">
        <v>37271.878980599999</v>
      </c>
    </row>
    <row r="72" spans="1:2" x14ac:dyDescent="0.25">
      <c r="A72" s="3" t="s">
        <v>180</v>
      </c>
      <c r="B72" s="4">
        <v>38385.388779549998</v>
      </c>
    </row>
    <row r="73" spans="1:2" x14ac:dyDescent="0.25">
      <c r="A73" s="3" t="s">
        <v>179</v>
      </c>
      <c r="B73" s="4">
        <v>38064.575832930001</v>
      </c>
    </row>
    <row r="74" spans="1:2" s="11" customFormat="1" x14ac:dyDescent="0.25">
      <c r="A74" s="11" t="s">
        <v>178</v>
      </c>
      <c r="B74" s="12">
        <v>40642.838953910003</v>
      </c>
    </row>
    <row r="75" spans="1:2" x14ac:dyDescent="0.25">
      <c r="A75" s="3" t="s">
        <v>177</v>
      </c>
      <c r="B75" s="4">
        <v>40057.995083900001</v>
      </c>
    </row>
    <row r="76" spans="1:2" x14ac:dyDescent="0.25">
      <c r="A76" s="3" t="s">
        <v>176</v>
      </c>
      <c r="B76" s="4">
        <v>39183.539922420001</v>
      </c>
    </row>
    <row r="77" spans="1:2" x14ac:dyDescent="0.25">
      <c r="A77" s="3" t="s">
        <v>175</v>
      </c>
      <c r="B77" s="4">
        <v>38477.107346609999</v>
      </c>
    </row>
    <row r="78" spans="1:2" x14ac:dyDescent="0.25">
      <c r="A78" s="3" t="s">
        <v>174</v>
      </c>
      <c r="B78" s="4">
        <v>38955.358250860001</v>
      </c>
    </row>
    <row r="79" spans="1:2" x14ac:dyDescent="0.25">
      <c r="A79" s="3" t="s">
        <v>173</v>
      </c>
      <c r="B79" s="4">
        <v>38500.813781609999</v>
      </c>
    </row>
    <row r="80" spans="1:2" x14ac:dyDescent="0.25">
      <c r="A80" s="3" t="s">
        <v>172</v>
      </c>
      <c r="B80" s="4">
        <v>38647.482575889997</v>
      </c>
    </row>
    <row r="81" spans="1:2" x14ac:dyDescent="0.25">
      <c r="A81" s="3" t="s">
        <v>171</v>
      </c>
      <c r="B81" s="4">
        <v>41621.914207349997</v>
      </c>
    </row>
    <row r="82" spans="1:2" x14ac:dyDescent="0.25">
      <c r="A82" s="3" t="s">
        <v>170</v>
      </c>
      <c r="B82" s="4">
        <v>40292.568680550001</v>
      </c>
    </row>
    <row r="83" spans="1:2" x14ac:dyDescent="0.25">
      <c r="A83" s="3" t="s">
        <v>169</v>
      </c>
      <c r="B83" s="4">
        <v>40250.611238379999</v>
      </c>
    </row>
    <row r="84" spans="1:2" x14ac:dyDescent="0.25">
      <c r="A84" s="3" t="s">
        <v>168</v>
      </c>
      <c r="B84" s="4">
        <v>40519.987820620001</v>
      </c>
    </row>
    <row r="85" spans="1:2" x14ac:dyDescent="0.25">
      <c r="A85" s="3" t="s">
        <v>167</v>
      </c>
      <c r="B85" s="4">
        <v>40269.794592389997</v>
      </c>
    </row>
    <row r="86" spans="1:2" s="11" customFormat="1" x14ac:dyDescent="0.25">
      <c r="A86" s="11" t="s">
        <v>166</v>
      </c>
      <c r="B86" s="12">
        <v>43295.347296560001</v>
      </c>
    </row>
    <row r="87" spans="1:2" x14ac:dyDescent="0.25">
      <c r="A87" s="3" t="s">
        <v>165</v>
      </c>
      <c r="B87" s="4">
        <v>41711.371315030003</v>
      </c>
    </row>
    <row r="88" spans="1:2" x14ac:dyDescent="0.25">
      <c r="A88" s="3" t="s">
        <v>164</v>
      </c>
      <c r="B88" s="4">
        <v>41115.703347629998</v>
      </c>
    </row>
    <row r="89" spans="1:2" x14ac:dyDescent="0.25">
      <c r="A89" s="3" t="s">
        <v>163</v>
      </c>
      <c r="B89" s="4">
        <v>40721.509154369996</v>
      </c>
    </row>
    <row r="90" spans="1:2" x14ac:dyDescent="0.25">
      <c r="A90" s="3" t="s">
        <v>162</v>
      </c>
      <c r="B90" s="4">
        <v>41254.475385110003</v>
      </c>
    </row>
    <row r="91" spans="1:2" x14ac:dyDescent="0.25">
      <c r="A91" s="3" t="s">
        <v>161</v>
      </c>
      <c r="B91" s="4">
        <v>41003.710868180002</v>
      </c>
    </row>
    <row r="92" spans="1:2" x14ac:dyDescent="0.25">
      <c r="A92" s="3" t="s">
        <v>160</v>
      </c>
      <c r="B92" s="4">
        <v>41032.562995100001</v>
      </c>
    </row>
    <row r="93" spans="1:2" x14ac:dyDescent="0.25">
      <c r="A93" s="3" t="s">
        <v>159</v>
      </c>
      <c r="B93" s="4">
        <v>43008.050808599997</v>
      </c>
    </row>
    <row r="94" spans="1:2" x14ac:dyDescent="0.25">
      <c r="A94" s="3" t="s">
        <v>158</v>
      </c>
      <c r="B94" s="4">
        <v>42250.397736539999</v>
      </c>
    </row>
    <row r="95" spans="1:2" x14ac:dyDescent="0.25">
      <c r="A95" s="3" t="s">
        <v>157</v>
      </c>
      <c r="B95" s="4">
        <v>42620.20030669</v>
      </c>
    </row>
    <row r="96" spans="1:2" x14ac:dyDescent="0.25">
      <c r="A96" s="3" t="s">
        <v>156</v>
      </c>
      <c r="B96" s="4">
        <v>42773.041179959997</v>
      </c>
    </row>
    <row r="97" spans="1:2" x14ac:dyDescent="0.25">
      <c r="A97" s="3" t="s">
        <v>155</v>
      </c>
      <c r="B97" s="4">
        <v>43043.885320519999</v>
      </c>
    </row>
    <row r="98" spans="1:2" s="11" customFormat="1" x14ac:dyDescent="0.25">
      <c r="A98" s="11" t="s">
        <v>154</v>
      </c>
      <c r="B98" s="12">
        <v>46178.271425669998</v>
      </c>
    </row>
    <row r="99" spans="1:2" x14ac:dyDescent="0.25">
      <c r="A99" s="3" t="s">
        <v>153</v>
      </c>
      <c r="B99" s="4">
        <v>44893.201703170002</v>
      </c>
    </row>
    <row r="100" spans="1:2" x14ac:dyDescent="0.25">
      <c r="A100" s="3" t="s">
        <v>152</v>
      </c>
      <c r="B100" s="4">
        <v>44806.20707543</v>
      </c>
    </row>
    <row r="101" spans="1:2" x14ac:dyDescent="0.25">
      <c r="A101" s="3" t="s">
        <v>151</v>
      </c>
      <c r="B101" s="4">
        <v>45134.687162360002</v>
      </c>
    </row>
    <row r="102" spans="1:2" x14ac:dyDescent="0.25">
      <c r="A102" s="3" t="s">
        <v>150</v>
      </c>
      <c r="B102" s="4">
        <v>44799.155997020003</v>
      </c>
    </row>
    <row r="103" spans="1:2" x14ac:dyDescent="0.25">
      <c r="A103" s="3" t="s">
        <v>149</v>
      </c>
      <c r="B103" s="4">
        <v>44567.953359680003</v>
      </c>
    </row>
    <row r="104" spans="1:2" x14ac:dyDescent="0.25">
      <c r="A104" s="3" t="s">
        <v>148</v>
      </c>
      <c r="B104" s="4">
        <v>45274.890282569999</v>
      </c>
    </row>
    <row r="105" spans="1:2" x14ac:dyDescent="0.25">
      <c r="A105" s="3" t="s">
        <v>147</v>
      </c>
      <c r="B105" s="4">
        <v>46509.543415959997</v>
      </c>
    </row>
    <row r="106" spans="1:2" x14ac:dyDescent="0.25">
      <c r="A106" s="3" t="s">
        <v>146</v>
      </c>
      <c r="B106" s="4">
        <v>46172.060165030001</v>
      </c>
    </row>
    <row r="107" spans="1:2" x14ac:dyDescent="0.25">
      <c r="A107" s="3" t="s">
        <v>145</v>
      </c>
      <c r="B107" s="4">
        <v>46252.480395879997</v>
      </c>
    </row>
    <row r="108" spans="1:2" x14ac:dyDescent="0.25">
      <c r="A108" s="3" t="s">
        <v>144</v>
      </c>
      <c r="B108" s="4">
        <v>46352.11082514</v>
      </c>
    </row>
    <row r="109" spans="1:2" x14ac:dyDescent="0.25">
      <c r="A109" s="3" t="s">
        <v>143</v>
      </c>
      <c r="B109" s="4">
        <v>46494.092678749999</v>
      </c>
    </row>
    <row r="110" spans="1:2" s="11" customFormat="1" x14ac:dyDescent="0.25">
      <c r="A110" s="11" t="s">
        <v>142</v>
      </c>
      <c r="B110" s="12">
        <v>49777.514118400002</v>
      </c>
    </row>
    <row r="111" spans="1:2" x14ac:dyDescent="0.25">
      <c r="A111" s="3" t="s">
        <v>141</v>
      </c>
      <c r="B111" s="4">
        <v>48077.846616549999</v>
      </c>
    </row>
    <row r="112" spans="1:2" x14ac:dyDescent="0.25">
      <c r="A112" s="3" t="s">
        <v>140</v>
      </c>
      <c r="B112" s="4">
        <v>47326.940783259997</v>
      </c>
    </row>
    <row r="113" spans="1:2" x14ac:dyDescent="0.25">
      <c r="A113" s="3" t="s">
        <v>139</v>
      </c>
      <c r="B113" s="4">
        <v>47545.88551036</v>
      </c>
    </row>
    <row r="114" spans="1:2" x14ac:dyDescent="0.25">
      <c r="A114" s="3" t="s">
        <v>138</v>
      </c>
      <c r="B114" s="4">
        <v>46690.140383159996</v>
      </c>
    </row>
    <row r="115" spans="1:2" x14ac:dyDescent="0.25">
      <c r="A115" s="3" t="s">
        <v>137</v>
      </c>
      <c r="B115" s="4">
        <v>46733.394092449998</v>
      </c>
    </row>
    <row r="116" spans="1:2" x14ac:dyDescent="0.25">
      <c r="A116" s="3" t="s">
        <v>136</v>
      </c>
      <c r="B116" s="4">
        <v>47448.972016480002</v>
      </c>
    </row>
    <row r="117" spans="1:2" x14ac:dyDescent="0.25">
      <c r="A117" s="3" t="s">
        <v>135</v>
      </c>
      <c r="B117" s="4">
        <v>48776.552594820001</v>
      </c>
    </row>
    <row r="118" spans="1:2" x14ac:dyDescent="0.25">
      <c r="A118" s="3" t="s">
        <v>134</v>
      </c>
      <c r="B118" s="4">
        <v>49110.728905459997</v>
      </c>
    </row>
    <row r="119" spans="1:2" x14ac:dyDescent="0.25">
      <c r="A119" s="3" t="s">
        <v>133</v>
      </c>
      <c r="B119" s="4">
        <v>48739.969946700003</v>
      </c>
    </row>
    <row r="120" spans="1:2" x14ac:dyDescent="0.25">
      <c r="A120" s="3" t="s">
        <v>132</v>
      </c>
      <c r="B120" s="4">
        <v>48787.484509089998</v>
      </c>
    </row>
    <row r="121" spans="1:2" x14ac:dyDescent="0.25">
      <c r="A121" s="3" t="s">
        <v>131</v>
      </c>
      <c r="B121" s="4">
        <v>49753.400654980003</v>
      </c>
    </row>
    <row r="122" spans="1:2" s="11" customFormat="1" x14ac:dyDescent="0.25">
      <c r="A122" s="11" t="s">
        <v>130</v>
      </c>
      <c r="B122" s="12">
        <v>52129.295374130001</v>
      </c>
    </row>
    <row r="123" spans="1:2" x14ac:dyDescent="0.25">
      <c r="A123" s="3" t="s">
        <v>129</v>
      </c>
      <c r="B123" s="4">
        <v>51002.322223529998</v>
      </c>
    </row>
    <row r="124" spans="1:2" x14ac:dyDescent="0.25">
      <c r="A124" s="3" t="s">
        <v>128</v>
      </c>
      <c r="B124" s="4">
        <v>51367.698254230003</v>
      </c>
    </row>
    <row r="125" spans="1:2" x14ac:dyDescent="0.25">
      <c r="A125" s="3" t="s">
        <v>127</v>
      </c>
      <c r="B125" s="4">
        <v>52335.063587329998</v>
      </c>
    </row>
    <row r="126" spans="1:2" x14ac:dyDescent="0.25">
      <c r="A126" s="3" t="s">
        <v>126</v>
      </c>
      <c r="B126" s="4">
        <v>56554.333109829997</v>
      </c>
    </row>
    <row r="127" spans="1:2" x14ac:dyDescent="0.25">
      <c r="A127" s="3" t="s">
        <v>125</v>
      </c>
      <c r="B127" s="4">
        <v>59818.214055830002</v>
      </c>
    </row>
    <row r="128" spans="1:2" x14ac:dyDescent="0.25">
      <c r="A128" s="3" t="s">
        <v>124</v>
      </c>
      <c r="B128" s="4">
        <v>63328.597775429997</v>
      </c>
    </row>
    <row r="129" spans="1:2" x14ac:dyDescent="0.25">
      <c r="A129" s="3" t="s">
        <v>123</v>
      </c>
      <c r="B129" s="4">
        <v>65726.888731429994</v>
      </c>
    </row>
    <row r="130" spans="1:2" x14ac:dyDescent="0.25">
      <c r="A130" s="3" t="s">
        <v>122</v>
      </c>
      <c r="B130" s="4">
        <v>66840.541096529996</v>
      </c>
    </row>
    <row r="131" spans="1:2" x14ac:dyDescent="0.25">
      <c r="A131" s="3" t="s">
        <v>121</v>
      </c>
      <c r="B131" s="4">
        <v>66412.120477930002</v>
      </c>
    </row>
    <row r="132" spans="1:2" x14ac:dyDescent="0.25">
      <c r="A132" s="3" t="s">
        <v>120</v>
      </c>
      <c r="B132" s="4">
        <v>67687.307838930006</v>
      </c>
    </row>
    <row r="133" spans="1:2" x14ac:dyDescent="0.25">
      <c r="A133" s="3" t="s">
        <v>119</v>
      </c>
      <c r="B133" s="4">
        <v>67804.33948753</v>
      </c>
    </row>
    <row r="134" spans="1:2" s="11" customFormat="1" x14ac:dyDescent="0.25">
      <c r="A134" s="11" t="s">
        <v>118</v>
      </c>
      <c r="B134" s="12">
        <v>71576.135269129998</v>
      </c>
    </row>
    <row r="135" spans="1:2" x14ac:dyDescent="0.25">
      <c r="A135" s="3" t="s">
        <v>117</v>
      </c>
      <c r="B135" s="4">
        <v>75380.03176903</v>
      </c>
    </row>
    <row r="136" spans="1:2" x14ac:dyDescent="0.25">
      <c r="A136" s="3" t="s">
        <v>116</v>
      </c>
      <c r="B136" s="4">
        <v>74855.714409730004</v>
      </c>
    </row>
    <row r="137" spans="1:2" x14ac:dyDescent="0.25">
      <c r="A137" s="3" t="s">
        <v>115</v>
      </c>
      <c r="B137" s="4">
        <v>74545.416487830007</v>
      </c>
    </row>
    <row r="138" spans="1:2" x14ac:dyDescent="0.25">
      <c r="A138" s="3" t="s">
        <v>114</v>
      </c>
      <c r="B138" s="4">
        <v>74452.825401030001</v>
      </c>
    </row>
    <row r="139" spans="1:2" x14ac:dyDescent="0.25">
      <c r="A139" s="3" t="s">
        <v>113</v>
      </c>
      <c r="B139" s="4">
        <v>75699.379316129998</v>
      </c>
    </row>
    <row r="140" spans="1:2" x14ac:dyDescent="0.25">
      <c r="A140" s="3" t="s">
        <v>112</v>
      </c>
      <c r="B140" s="4">
        <v>76385.129350429997</v>
      </c>
    </row>
    <row r="141" spans="1:2" x14ac:dyDescent="0.25">
      <c r="A141" s="3" t="s">
        <v>111</v>
      </c>
      <c r="B141" s="4">
        <v>80002.820238030006</v>
      </c>
    </row>
    <row r="142" spans="1:2" x14ac:dyDescent="0.25">
      <c r="A142" s="3" t="s">
        <v>110</v>
      </c>
      <c r="B142" s="4">
        <v>80121.411548129996</v>
      </c>
    </row>
    <row r="143" spans="1:2" x14ac:dyDescent="0.25">
      <c r="A143" s="3" t="s">
        <v>109</v>
      </c>
      <c r="B143" s="4">
        <v>80279.17503703</v>
      </c>
    </row>
    <row r="144" spans="1:2" x14ac:dyDescent="0.25">
      <c r="A144" s="3" t="s">
        <v>108</v>
      </c>
      <c r="B144" s="4">
        <v>80662.03565243</v>
      </c>
    </row>
    <row r="145" spans="1:2" x14ac:dyDescent="0.25">
      <c r="A145" s="3" t="s">
        <v>107</v>
      </c>
      <c r="B145" s="4">
        <v>80268.380272130002</v>
      </c>
    </row>
    <row r="146" spans="1:2" s="11" customFormat="1" x14ac:dyDescent="0.25">
      <c r="A146" s="11" t="s">
        <v>106</v>
      </c>
      <c r="B146" s="12">
        <v>83057.932263130002</v>
      </c>
    </row>
    <row r="147" spans="1:2" x14ac:dyDescent="0.25">
      <c r="A147" s="3" t="s">
        <v>105</v>
      </c>
      <c r="B147" s="4">
        <v>81440.851514130001</v>
      </c>
    </row>
    <row r="148" spans="1:2" x14ac:dyDescent="0.25">
      <c r="A148" s="3" t="s">
        <v>104</v>
      </c>
      <c r="B148" s="4">
        <v>79594.376624430006</v>
      </c>
    </row>
    <row r="149" spans="1:2" x14ac:dyDescent="0.25">
      <c r="A149" s="3" t="s">
        <v>103</v>
      </c>
      <c r="B149" s="4">
        <v>77266.748470129998</v>
      </c>
    </row>
    <row r="150" spans="1:2" x14ac:dyDescent="0.25">
      <c r="A150" s="3" t="s">
        <v>102</v>
      </c>
      <c r="B150" s="4">
        <v>77489.216099629994</v>
      </c>
    </row>
    <row r="151" spans="1:2" x14ac:dyDescent="0.25">
      <c r="A151" s="3" t="s">
        <v>101</v>
      </c>
      <c r="B151" s="4">
        <v>76214.908049029997</v>
      </c>
    </row>
    <row r="152" spans="1:2" x14ac:dyDescent="0.25">
      <c r="A152" s="3" t="s">
        <v>100</v>
      </c>
      <c r="B152" s="4">
        <v>75615.665477329996</v>
      </c>
    </row>
    <row r="153" spans="1:2" x14ac:dyDescent="0.25">
      <c r="A153" s="3" t="s">
        <v>99</v>
      </c>
      <c r="B153" s="4">
        <v>78547.652669880001</v>
      </c>
    </row>
    <row r="154" spans="1:2" x14ac:dyDescent="0.25">
      <c r="A154" s="3" t="s">
        <v>98</v>
      </c>
      <c r="B154" s="4">
        <v>77556.779452579998</v>
      </c>
    </row>
    <row r="155" spans="1:2" x14ac:dyDescent="0.25">
      <c r="A155" s="3" t="s">
        <v>97</v>
      </c>
      <c r="B155" s="4">
        <v>77664.539422179994</v>
      </c>
    </row>
    <row r="156" spans="1:2" x14ac:dyDescent="0.25">
      <c r="A156" s="3" t="s">
        <v>96</v>
      </c>
      <c r="B156" s="4">
        <v>77913.630191179996</v>
      </c>
    </row>
    <row r="157" spans="1:2" x14ac:dyDescent="0.25">
      <c r="A157" s="3" t="s">
        <v>95</v>
      </c>
      <c r="B157" s="4">
        <v>77032.884679280003</v>
      </c>
    </row>
    <row r="158" spans="1:2" s="11" customFormat="1" x14ac:dyDescent="0.25">
      <c r="A158" s="11" t="s">
        <v>94</v>
      </c>
      <c r="B158" s="12">
        <v>79890.446200880004</v>
      </c>
    </row>
    <row r="159" spans="1:2" x14ac:dyDescent="0.25">
      <c r="A159" s="3" t="s">
        <v>93</v>
      </c>
      <c r="B159" s="4">
        <v>78765.397034880007</v>
      </c>
    </row>
    <row r="160" spans="1:2" x14ac:dyDescent="0.25">
      <c r="A160" s="3" t="s">
        <v>92</v>
      </c>
      <c r="B160" s="4">
        <v>77265.493399979998</v>
      </c>
    </row>
    <row r="161" spans="1:2" x14ac:dyDescent="0.25">
      <c r="A161" s="3" t="s">
        <v>91</v>
      </c>
      <c r="B161" s="4">
        <v>75025.345720280005</v>
      </c>
    </row>
    <row r="162" spans="1:2" x14ac:dyDescent="0.25">
      <c r="A162" s="3" t="s">
        <v>90</v>
      </c>
      <c r="B162" s="4">
        <v>74788.182015679995</v>
      </c>
    </row>
    <row r="163" spans="1:2" x14ac:dyDescent="0.25">
      <c r="A163" s="3" t="s">
        <v>89</v>
      </c>
      <c r="B163" s="4">
        <v>73115.412028179999</v>
      </c>
    </row>
    <row r="164" spans="1:2" x14ac:dyDescent="0.25">
      <c r="A164" s="3" t="s">
        <v>88</v>
      </c>
      <c r="B164" s="4">
        <v>72574.556868879998</v>
      </c>
    </row>
    <row r="165" spans="1:2" x14ac:dyDescent="0.25">
      <c r="A165" s="3" t="s">
        <v>87</v>
      </c>
      <c r="B165" s="4">
        <v>73916.566635280004</v>
      </c>
    </row>
    <row r="166" spans="1:2" x14ac:dyDescent="0.25">
      <c r="A166" s="3" t="s">
        <v>86</v>
      </c>
      <c r="B166" s="4">
        <v>72733.819927880002</v>
      </c>
    </row>
    <row r="167" spans="1:2" x14ac:dyDescent="0.25">
      <c r="A167" s="3" t="s">
        <v>85</v>
      </c>
      <c r="B167" s="4">
        <v>72632.249772979994</v>
      </c>
    </row>
    <row r="168" spans="1:2" x14ac:dyDescent="0.25">
      <c r="A168" s="3" t="s">
        <v>84</v>
      </c>
      <c r="B168" s="4">
        <v>72683.111026479994</v>
      </c>
    </row>
    <row r="169" spans="1:2" x14ac:dyDescent="0.25">
      <c r="A169" s="3" t="s">
        <v>83</v>
      </c>
      <c r="B169" s="4">
        <v>72642.340845979998</v>
      </c>
    </row>
    <row r="170" spans="1:2" s="11" customFormat="1" x14ac:dyDescent="0.25">
      <c r="A170" s="11" t="s">
        <v>82</v>
      </c>
      <c r="B170" s="12">
        <v>75399.049969679996</v>
      </c>
    </row>
    <row r="171" spans="1:2" x14ac:dyDescent="0.25">
      <c r="A171" s="3" t="s">
        <v>81</v>
      </c>
      <c r="B171" s="4">
        <v>74115.135577980007</v>
      </c>
    </row>
    <row r="172" spans="1:2" x14ac:dyDescent="0.25">
      <c r="A172" s="3" t="s">
        <v>80</v>
      </c>
      <c r="B172" s="4">
        <v>73417.561079179999</v>
      </c>
    </row>
    <row r="173" spans="1:2" x14ac:dyDescent="0.25">
      <c r="A173" s="3" t="s">
        <v>79</v>
      </c>
      <c r="B173" s="4">
        <v>72951.408267580002</v>
      </c>
    </row>
    <row r="174" spans="1:2" x14ac:dyDescent="0.25">
      <c r="A174" s="3" t="s">
        <v>78</v>
      </c>
      <c r="B174" s="4">
        <v>72621.111545980006</v>
      </c>
    </row>
    <row r="175" spans="1:2" x14ac:dyDescent="0.25">
      <c r="A175" s="3" t="s">
        <v>77</v>
      </c>
      <c r="B175" s="4">
        <v>73405.617004479995</v>
      </c>
    </row>
    <row r="176" spans="1:2" x14ac:dyDescent="0.25">
      <c r="A176" s="3" t="s">
        <v>76</v>
      </c>
      <c r="B176" s="4">
        <v>75861.380836779994</v>
      </c>
    </row>
    <row r="177" spans="1:2" x14ac:dyDescent="0.25">
      <c r="A177" s="3" t="s">
        <v>75</v>
      </c>
      <c r="B177" s="4">
        <v>78427.679825679996</v>
      </c>
    </row>
    <row r="178" spans="1:2" x14ac:dyDescent="0.25">
      <c r="A178" s="3" t="s">
        <v>74</v>
      </c>
      <c r="B178" s="4">
        <v>79761.130452779995</v>
      </c>
    </row>
    <row r="179" spans="1:2" x14ac:dyDescent="0.25">
      <c r="A179" s="3" t="s">
        <v>73</v>
      </c>
      <c r="B179" s="4">
        <v>80009.519242879993</v>
      </c>
    </row>
    <row r="180" spans="1:2" x14ac:dyDescent="0.25">
      <c r="A180" s="3" t="s">
        <v>72</v>
      </c>
      <c r="B180" s="4">
        <v>80430.587040879996</v>
      </c>
    </row>
    <row r="181" spans="1:2" x14ac:dyDescent="0.25">
      <c r="A181" s="3" t="s">
        <v>71</v>
      </c>
      <c r="B181" s="4">
        <v>81515.486113780004</v>
      </c>
    </row>
    <row r="182" spans="1:2" s="11" customFormat="1" x14ac:dyDescent="0.25">
      <c r="A182" s="11" t="s">
        <v>70</v>
      </c>
      <c r="B182" s="12">
        <v>84003.773224880002</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271B-232D-4DBE-AADD-5237A33113B9}">
  <dimension ref="A1:B182"/>
  <sheetViews>
    <sheetView workbookViewId="0">
      <selection activeCell="J37" sqref="J37"/>
    </sheetView>
  </sheetViews>
  <sheetFormatPr baseColWidth="10" defaultColWidth="9.140625" defaultRowHeight="15" x14ac:dyDescent="0.25"/>
  <cols>
    <col min="1" max="16384" width="9.140625" style="3"/>
  </cols>
  <sheetData>
    <row r="1" spans="1:2" x14ac:dyDescent="0.25">
      <c r="B1" s="3" t="s">
        <v>257</v>
      </c>
    </row>
    <row r="2" spans="1:2" x14ac:dyDescent="0.25">
      <c r="B2" s="3" t="s">
        <v>256</v>
      </c>
    </row>
    <row r="3" spans="1:2" x14ac:dyDescent="0.25">
      <c r="A3" s="3" t="s">
        <v>249</v>
      </c>
      <c r="B3" s="3">
        <v>33229.043361999997</v>
      </c>
    </row>
    <row r="4" spans="1:2" x14ac:dyDescent="0.25">
      <c r="A4" s="3" t="s">
        <v>248</v>
      </c>
      <c r="B4" s="3">
        <v>33491.518213000003</v>
      </c>
    </row>
    <row r="5" spans="1:2" x14ac:dyDescent="0.25">
      <c r="A5" s="3" t="s">
        <v>247</v>
      </c>
      <c r="B5" s="3">
        <v>34660.179977</v>
      </c>
    </row>
    <row r="6" spans="1:2" x14ac:dyDescent="0.25">
      <c r="A6" s="3" t="s">
        <v>246</v>
      </c>
      <c r="B6" s="3">
        <v>34431.526529000002</v>
      </c>
    </row>
    <row r="7" spans="1:2" x14ac:dyDescent="0.25">
      <c r="A7" s="3" t="s">
        <v>245</v>
      </c>
      <c r="B7" s="3">
        <v>35326.166485000002</v>
      </c>
    </row>
    <row r="8" spans="1:2" x14ac:dyDescent="0.25">
      <c r="A8" s="3" t="s">
        <v>244</v>
      </c>
      <c r="B8" s="3">
        <v>36556.672427999998</v>
      </c>
    </row>
    <row r="9" spans="1:2" x14ac:dyDescent="0.25">
      <c r="A9" s="3" t="s">
        <v>243</v>
      </c>
      <c r="B9" s="3">
        <v>36659.609220999999</v>
      </c>
    </row>
    <row r="10" spans="1:2" x14ac:dyDescent="0.25">
      <c r="A10" s="3" t="s">
        <v>242</v>
      </c>
      <c r="B10" s="3">
        <v>37462.708851000003</v>
      </c>
    </row>
    <row r="11" spans="1:2" x14ac:dyDescent="0.25">
      <c r="A11" s="3" t="s">
        <v>241</v>
      </c>
      <c r="B11" s="3">
        <v>37105.903643999998</v>
      </c>
    </row>
    <row r="12" spans="1:2" x14ac:dyDescent="0.25">
      <c r="A12" s="3" t="s">
        <v>240</v>
      </c>
      <c r="B12" s="3">
        <v>38052.831415000001</v>
      </c>
    </row>
    <row r="13" spans="1:2" x14ac:dyDescent="0.25">
      <c r="A13" s="3" t="s">
        <v>239</v>
      </c>
      <c r="B13" s="3">
        <v>39562.585502000002</v>
      </c>
    </row>
    <row r="14" spans="1:2" x14ac:dyDescent="0.25">
      <c r="A14" s="3" t="s">
        <v>238</v>
      </c>
      <c r="B14" s="3">
        <v>42650.590969999997</v>
      </c>
    </row>
    <row r="15" spans="1:2" x14ac:dyDescent="0.25">
      <c r="A15" s="3" t="s">
        <v>237</v>
      </c>
      <c r="B15" s="3">
        <v>40449.595999999998</v>
      </c>
    </row>
    <row r="16" spans="1:2" x14ac:dyDescent="0.25">
      <c r="A16" s="3" t="s">
        <v>236</v>
      </c>
      <c r="B16" s="3">
        <v>40715.4568</v>
      </c>
    </row>
    <row r="17" spans="1:2" x14ac:dyDescent="0.25">
      <c r="A17" s="3" t="s">
        <v>235</v>
      </c>
      <c r="B17" s="3">
        <v>41985.222800000003</v>
      </c>
    </row>
    <row r="18" spans="1:2" x14ac:dyDescent="0.25">
      <c r="A18" s="3" t="s">
        <v>234</v>
      </c>
      <c r="B18" s="3">
        <v>42249.101074999999</v>
      </c>
    </row>
    <row r="19" spans="1:2" x14ac:dyDescent="0.25">
      <c r="A19" s="3" t="s">
        <v>233</v>
      </c>
      <c r="B19" s="3">
        <v>41496.145273000002</v>
      </c>
    </row>
    <row r="20" spans="1:2" x14ac:dyDescent="0.25">
      <c r="A20" s="3" t="s">
        <v>232</v>
      </c>
      <c r="B20" s="3">
        <v>41727.030869000002</v>
      </c>
    </row>
    <row r="21" spans="1:2" x14ac:dyDescent="0.25">
      <c r="A21" s="3" t="s">
        <v>231</v>
      </c>
      <c r="B21" s="3">
        <v>43670.59921</v>
      </c>
    </row>
    <row r="22" spans="1:2" x14ac:dyDescent="0.25">
      <c r="A22" s="3" t="s">
        <v>230</v>
      </c>
      <c r="B22" s="3">
        <v>45088.849836000001</v>
      </c>
    </row>
    <row r="23" spans="1:2" x14ac:dyDescent="0.25">
      <c r="A23" s="3" t="s">
        <v>229</v>
      </c>
      <c r="B23" s="3">
        <v>44245.354837999999</v>
      </c>
    </row>
    <row r="24" spans="1:2" x14ac:dyDescent="0.25">
      <c r="A24" s="3" t="s">
        <v>228</v>
      </c>
      <c r="B24" s="3">
        <v>45266.236599999997</v>
      </c>
    </row>
    <row r="25" spans="1:2" x14ac:dyDescent="0.25">
      <c r="A25" s="3" t="s">
        <v>227</v>
      </c>
      <c r="B25" s="3">
        <v>44833.489528999999</v>
      </c>
    </row>
    <row r="26" spans="1:2" x14ac:dyDescent="0.25">
      <c r="A26" s="3" t="s">
        <v>226</v>
      </c>
      <c r="B26" s="3">
        <v>48766.340076</v>
      </c>
    </row>
    <row r="27" spans="1:2" x14ac:dyDescent="0.25">
      <c r="A27" s="3" t="s">
        <v>225</v>
      </c>
      <c r="B27" s="3">
        <v>47660.215421000001</v>
      </c>
    </row>
    <row r="28" spans="1:2" x14ac:dyDescent="0.25">
      <c r="A28" s="3" t="s">
        <v>224</v>
      </c>
      <c r="B28" s="3">
        <v>47244.886146999997</v>
      </c>
    </row>
    <row r="29" spans="1:2" x14ac:dyDescent="0.25">
      <c r="A29" s="3" t="s">
        <v>223</v>
      </c>
      <c r="B29" s="3">
        <v>48303.579478</v>
      </c>
    </row>
    <row r="30" spans="1:2" x14ac:dyDescent="0.25">
      <c r="A30" s="3" t="s">
        <v>222</v>
      </c>
      <c r="B30" s="3">
        <v>48877.633689000002</v>
      </c>
    </row>
    <row r="31" spans="1:2" x14ac:dyDescent="0.25">
      <c r="A31" s="3" t="s">
        <v>221</v>
      </c>
      <c r="B31" s="3">
        <v>49049.267699000004</v>
      </c>
    </row>
    <row r="32" spans="1:2" x14ac:dyDescent="0.25">
      <c r="A32" s="3" t="s">
        <v>220</v>
      </c>
      <c r="B32" s="3">
        <v>49688.612642</v>
      </c>
    </row>
    <row r="33" spans="1:2" x14ac:dyDescent="0.25">
      <c r="A33" s="3" t="s">
        <v>219</v>
      </c>
      <c r="B33" s="3">
        <v>51211.407458000001</v>
      </c>
    </row>
    <row r="34" spans="1:2" x14ac:dyDescent="0.25">
      <c r="A34" s="3" t="s">
        <v>218</v>
      </c>
      <c r="B34" s="3">
        <v>52317.047715000001</v>
      </c>
    </row>
    <row r="35" spans="1:2" x14ac:dyDescent="0.25">
      <c r="A35" s="3" t="s">
        <v>217</v>
      </c>
      <c r="B35" s="3">
        <v>51704.109815000003</v>
      </c>
    </row>
    <row r="36" spans="1:2" x14ac:dyDescent="0.25">
      <c r="A36" s="3" t="s">
        <v>216</v>
      </c>
      <c r="B36" s="3">
        <v>52997.567365000003</v>
      </c>
    </row>
    <row r="37" spans="1:2" x14ac:dyDescent="0.25">
      <c r="A37" s="3" t="s">
        <v>215</v>
      </c>
      <c r="B37" s="3">
        <v>53405.378358000002</v>
      </c>
    </row>
    <row r="38" spans="1:2" x14ac:dyDescent="0.25">
      <c r="A38" s="3" t="s">
        <v>214</v>
      </c>
      <c r="B38" s="3">
        <v>57246.572748999999</v>
      </c>
    </row>
    <row r="39" spans="1:2" x14ac:dyDescent="0.25">
      <c r="A39" s="3" t="s">
        <v>213</v>
      </c>
      <c r="B39" s="3">
        <v>55965.265347</v>
      </c>
    </row>
    <row r="40" spans="1:2" x14ac:dyDescent="0.25">
      <c r="A40" s="3" t="s">
        <v>212</v>
      </c>
      <c r="B40" s="3">
        <v>58133.640876999998</v>
      </c>
    </row>
    <row r="41" spans="1:2" x14ac:dyDescent="0.25">
      <c r="A41" s="3" t="s">
        <v>211</v>
      </c>
      <c r="B41" s="3">
        <v>56992.099070999997</v>
      </c>
    </row>
    <row r="42" spans="1:2" x14ac:dyDescent="0.25">
      <c r="A42" s="3" t="s">
        <v>210</v>
      </c>
      <c r="B42" s="3">
        <v>57213.375225999996</v>
      </c>
    </row>
    <row r="43" spans="1:2" x14ac:dyDescent="0.25">
      <c r="A43" s="3" t="s">
        <v>209</v>
      </c>
      <c r="B43" s="3">
        <v>56633.895273000002</v>
      </c>
    </row>
    <row r="44" spans="1:2" x14ac:dyDescent="0.25">
      <c r="A44" s="3" t="s">
        <v>208</v>
      </c>
      <c r="B44" s="3">
        <v>57058.777285999997</v>
      </c>
    </row>
    <row r="45" spans="1:2" x14ac:dyDescent="0.25">
      <c r="A45" s="3" t="s">
        <v>207</v>
      </c>
      <c r="B45" s="3">
        <v>58546.303126999999</v>
      </c>
    </row>
    <row r="46" spans="1:2" x14ac:dyDescent="0.25">
      <c r="A46" s="3" t="s">
        <v>206</v>
      </c>
      <c r="B46" s="3">
        <v>58304.363878999997</v>
      </c>
    </row>
    <row r="47" spans="1:2" x14ac:dyDescent="0.25">
      <c r="A47" s="3" t="s">
        <v>205</v>
      </c>
      <c r="B47" s="3">
        <v>57289.205950000003</v>
      </c>
    </row>
    <row r="48" spans="1:2" x14ac:dyDescent="0.25">
      <c r="A48" s="3" t="s">
        <v>204</v>
      </c>
      <c r="B48" s="3">
        <v>57220.3292</v>
      </c>
    </row>
    <row r="49" spans="1:2" x14ac:dyDescent="0.25">
      <c r="A49" s="3" t="s">
        <v>203</v>
      </c>
      <c r="B49" s="3">
        <v>57879.348680000003</v>
      </c>
    </row>
    <row r="50" spans="1:2" x14ac:dyDescent="0.25">
      <c r="A50" s="3" t="s">
        <v>202</v>
      </c>
      <c r="B50" s="3">
        <v>62228.834108000003</v>
      </c>
    </row>
    <row r="51" spans="1:2" x14ac:dyDescent="0.25">
      <c r="A51" s="3" t="s">
        <v>201</v>
      </c>
      <c r="B51" s="3">
        <v>59918.018606999998</v>
      </c>
    </row>
    <row r="52" spans="1:2" x14ac:dyDescent="0.25">
      <c r="A52" s="3" t="s">
        <v>200</v>
      </c>
      <c r="B52" s="3">
        <v>60119.991148000001</v>
      </c>
    </row>
    <row r="53" spans="1:2" x14ac:dyDescent="0.25">
      <c r="A53" s="3" t="s">
        <v>199</v>
      </c>
      <c r="B53" s="3">
        <v>60927.171467</v>
      </c>
    </row>
    <row r="54" spans="1:2" x14ac:dyDescent="0.25">
      <c r="A54" s="3" t="s">
        <v>198</v>
      </c>
      <c r="B54" s="3">
        <v>59902.825280999998</v>
      </c>
    </row>
    <row r="55" spans="1:2" x14ac:dyDescent="0.25">
      <c r="A55" s="3" t="s">
        <v>197</v>
      </c>
      <c r="B55" s="3">
        <v>59270.166587</v>
      </c>
    </row>
    <row r="56" spans="1:2" x14ac:dyDescent="0.25">
      <c r="A56" s="3" t="s">
        <v>196</v>
      </c>
      <c r="B56" s="3">
        <v>59699.738731999998</v>
      </c>
    </row>
    <row r="57" spans="1:2" x14ac:dyDescent="0.25">
      <c r="A57" s="3" t="s">
        <v>195</v>
      </c>
      <c r="B57" s="3">
        <v>60920.827366999998</v>
      </c>
    </row>
    <row r="58" spans="1:2" x14ac:dyDescent="0.25">
      <c r="A58" s="3" t="s">
        <v>194</v>
      </c>
      <c r="B58" s="3">
        <v>61600.808448999996</v>
      </c>
    </row>
    <row r="59" spans="1:2" x14ac:dyDescent="0.25">
      <c r="A59" s="3" t="s">
        <v>193</v>
      </c>
      <c r="B59" s="3">
        <v>62049.079352000001</v>
      </c>
    </row>
    <row r="60" spans="1:2" x14ac:dyDescent="0.25">
      <c r="A60" s="3" t="s">
        <v>192</v>
      </c>
      <c r="B60" s="3">
        <v>61736.258654999998</v>
      </c>
    </row>
    <row r="61" spans="1:2" x14ac:dyDescent="0.25">
      <c r="A61" s="3" t="s">
        <v>191</v>
      </c>
      <c r="B61" s="3">
        <v>63174.026530000003</v>
      </c>
    </row>
    <row r="62" spans="1:2" x14ac:dyDescent="0.25">
      <c r="A62" s="3" t="s">
        <v>190</v>
      </c>
      <c r="B62" s="3">
        <v>68382.058718999993</v>
      </c>
    </row>
    <row r="63" spans="1:2" x14ac:dyDescent="0.25">
      <c r="A63" s="3" t="s">
        <v>189</v>
      </c>
      <c r="B63" s="3">
        <v>65926.085481000002</v>
      </c>
    </row>
    <row r="64" spans="1:2" x14ac:dyDescent="0.25">
      <c r="A64" s="3" t="s">
        <v>188</v>
      </c>
      <c r="B64" s="3">
        <v>66294.286846999996</v>
      </c>
    </row>
    <row r="65" spans="1:2" x14ac:dyDescent="0.25">
      <c r="A65" s="3" t="s">
        <v>187</v>
      </c>
      <c r="B65" s="3">
        <v>64786.879875999999</v>
      </c>
    </row>
    <row r="66" spans="1:2" x14ac:dyDescent="0.25">
      <c r="A66" s="3" t="s">
        <v>186</v>
      </c>
      <c r="B66" s="3">
        <v>64051.264487</v>
      </c>
    </row>
    <row r="67" spans="1:2" x14ac:dyDescent="0.25">
      <c r="A67" s="3" t="s">
        <v>185</v>
      </c>
      <c r="B67" s="3">
        <v>63795.321990999997</v>
      </c>
    </row>
    <row r="68" spans="1:2" x14ac:dyDescent="0.25">
      <c r="A68" s="3" t="s">
        <v>184</v>
      </c>
      <c r="B68" s="3">
        <v>63748.780117000002</v>
      </c>
    </row>
    <row r="69" spans="1:2" x14ac:dyDescent="0.25">
      <c r="A69" s="3" t="s">
        <v>183</v>
      </c>
      <c r="B69" s="3">
        <v>65306.150665000001</v>
      </c>
    </row>
    <row r="70" spans="1:2" x14ac:dyDescent="0.25">
      <c r="A70" s="3" t="s">
        <v>182</v>
      </c>
      <c r="B70" s="3">
        <v>64632.756175000002</v>
      </c>
    </row>
    <row r="71" spans="1:2" x14ac:dyDescent="0.25">
      <c r="A71" s="3" t="s">
        <v>181</v>
      </c>
      <c r="B71" s="3">
        <v>64249.869078999996</v>
      </c>
    </row>
    <row r="72" spans="1:2" x14ac:dyDescent="0.25">
      <c r="A72" s="3" t="s">
        <v>180</v>
      </c>
      <c r="B72" s="3">
        <v>66609.961716000005</v>
      </c>
    </row>
    <row r="73" spans="1:2" x14ac:dyDescent="0.25">
      <c r="A73" s="3" t="s">
        <v>179</v>
      </c>
      <c r="B73" s="3">
        <v>65910.064054000002</v>
      </c>
    </row>
    <row r="74" spans="1:2" x14ac:dyDescent="0.25">
      <c r="A74" s="3" t="s">
        <v>178</v>
      </c>
      <c r="B74" s="3">
        <v>71324.188332000005</v>
      </c>
    </row>
    <row r="75" spans="1:2" x14ac:dyDescent="0.25">
      <c r="A75" s="3" t="s">
        <v>177</v>
      </c>
      <c r="B75" s="3">
        <v>69125.063372000004</v>
      </c>
    </row>
    <row r="76" spans="1:2" x14ac:dyDescent="0.25">
      <c r="A76" s="3" t="s">
        <v>176</v>
      </c>
      <c r="B76" s="3">
        <v>68688.736732999998</v>
      </c>
    </row>
    <row r="77" spans="1:2" x14ac:dyDescent="0.25">
      <c r="A77" s="3" t="s">
        <v>175</v>
      </c>
      <c r="B77" s="3">
        <v>66579.700708999997</v>
      </c>
    </row>
    <row r="78" spans="1:2" x14ac:dyDescent="0.25">
      <c r="A78" s="3" t="s">
        <v>174</v>
      </c>
      <c r="B78" s="3">
        <v>67225.167008000004</v>
      </c>
    </row>
    <row r="79" spans="1:2" x14ac:dyDescent="0.25">
      <c r="A79" s="3" t="s">
        <v>173</v>
      </c>
      <c r="B79" s="3">
        <v>66280.253698999994</v>
      </c>
    </row>
    <row r="80" spans="1:2" x14ac:dyDescent="0.25">
      <c r="A80" s="3" t="s">
        <v>172</v>
      </c>
      <c r="B80" s="3">
        <v>66503.993612999999</v>
      </c>
    </row>
    <row r="81" spans="1:2" x14ac:dyDescent="0.25">
      <c r="A81" s="3" t="s">
        <v>171</v>
      </c>
      <c r="B81" s="3">
        <v>69531.202069000006</v>
      </c>
    </row>
    <row r="82" spans="1:2" x14ac:dyDescent="0.25">
      <c r="A82" s="3" t="s">
        <v>170</v>
      </c>
      <c r="B82" s="3">
        <v>70019.183306000006</v>
      </c>
    </row>
    <row r="83" spans="1:2" x14ac:dyDescent="0.25">
      <c r="A83" s="3" t="s">
        <v>169</v>
      </c>
      <c r="B83" s="3">
        <v>69258.836953000005</v>
      </c>
    </row>
    <row r="84" spans="1:2" x14ac:dyDescent="0.25">
      <c r="A84" s="3" t="s">
        <v>168</v>
      </c>
      <c r="B84" s="3">
        <v>69873.883130999995</v>
      </c>
    </row>
    <row r="85" spans="1:2" x14ac:dyDescent="0.25">
      <c r="A85" s="3" t="s">
        <v>167</v>
      </c>
      <c r="B85" s="3">
        <v>69853.550388999996</v>
      </c>
    </row>
    <row r="86" spans="1:2" x14ac:dyDescent="0.25">
      <c r="A86" s="3" t="s">
        <v>166</v>
      </c>
      <c r="B86" s="3">
        <v>73804.687214999998</v>
      </c>
    </row>
    <row r="87" spans="1:2" x14ac:dyDescent="0.25">
      <c r="A87" s="3" t="s">
        <v>165</v>
      </c>
      <c r="B87" s="3">
        <v>70918.412200000006</v>
      </c>
    </row>
    <row r="88" spans="1:2" x14ac:dyDescent="0.25">
      <c r="A88" s="3" t="s">
        <v>164</v>
      </c>
      <c r="B88" s="3">
        <v>72075.157699999996</v>
      </c>
    </row>
    <row r="89" spans="1:2" x14ac:dyDescent="0.25">
      <c r="A89" s="3" t="s">
        <v>163</v>
      </c>
      <c r="B89" s="3">
        <v>70590.965664000003</v>
      </c>
    </row>
    <row r="90" spans="1:2" x14ac:dyDescent="0.25">
      <c r="A90" s="3" t="s">
        <v>162</v>
      </c>
      <c r="B90" s="3">
        <v>70909.461857999995</v>
      </c>
    </row>
    <row r="91" spans="1:2" x14ac:dyDescent="0.25">
      <c r="A91" s="3" t="s">
        <v>161</v>
      </c>
      <c r="B91" s="3">
        <v>71664.948940000002</v>
      </c>
    </row>
    <row r="92" spans="1:2" x14ac:dyDescent="0.25">
      <c r="A92" s="3" t="s">
        <v>160</v>
      </c>
      <c r="B92" s="3">
        <v>73005.184412999995</v>
      </c>
    </row>
    <row r="93" spans="1:2" x14ac:dyDescent="0.25">
      <c r="A93" s="3" t="s">
        <v>159</v>
      </c>
      <c r="B93" s="3">
        <v>74634.987122000006</v>
      </c>
    </row>
    <row r="94" spans="1:2" x14ac:dyDescent="0.25">
      <c r="A94" s="3" t="s">
        <v>158</v>
      </c>
      <c r="B94" s="3">
        <v>73468.114398999998</v>
      </c>
    </row>
    <row r="95" spans="1:2" x14ac:dyDescent="0.25">
      <c r="A95" s="3" t="s">
        <v>157</v>
      </c>
      <c r="B95" s="3">
        <v>76896.195806000003</v>
      </c>
    </row>
    <row r="96" spans="1:2" x14ac:dyDescent="0.25">
      <c r="A96" s="3" t="s">
        <v>156</v>
      </c>
      <c r="B96" s="3">
        <v>77683.516231000001</v>
      </c>
    </row>
    <row r="97" spans="1:2" x14ac:dyDescent="0.25">
      <c r="A97" s="3" t="s">
        <v>155</v>
      </c>
      <c r="B97" s="3">
        <v>78581.639779000005</v>
      </c>
    </row>
    <row r="98" spans="1:2" x14ac:dyDescent="0.25">
      <c r="A98" s="3" t="s">
        <v>154</v>
      </c>
      <c r="B98" s="3">
        <v>81713.061958000006</v>
      </c>
    </row>
    <row r="99" spans="1:2" x14ac:dyDescent="0.25">
      <c r="A99" s="3" t="s">
        <v>153</v>
      </c>
      <c r="B99" s="3">
        <v>81632.734412000005</v>
      </c>
    </row>
    <row r="100" spans="1:2" x14ac:dyDescent="0.25">
      <c r="A100" s="3" t="s">
        <v>152</v>
      </c>
      <c r="B100" s="3">
        <v>82079.041438999993</v>
      </c>
    </row>
    <row r="101" spans="1:2" x14ac:dyDescent="0.25">
      <c r="A101" s="3" t="s">
        <v>151</v>
      </c>
      <c r="B101" s="3">
        <v>82806.081481999994</v>
      </c>
    </row>
    <row r="102" spans="1:2" x14ac:dyDescent="0.25">
      <c r="A102" s="3" t="s">
        <v>150</v>
      </c>
      <c r="B102" s="3">
        <v>80278.524814000004</v>
      </c>
    </row>
    <row r="103" spans="1:2" x14ac:dyDescent="0.25">
      <c r="A103" s="3" t="s">
        <v>149</v>
      </c>
      <c r="B103" s="3">
        <v>83040.350806000002</v>
      </c>
    </row>
    <row r="104" spans="1:2" x14ac:dyDescent="0.25">
      <c r="A104" s="3" t="s">
        <v>148</v>
      </c>
      <c r="B104" s="3">
        <v>81794.401832000003</v>
      </c>
    </row>
    <row r="105" spans="1:2" x14ac:dyDescent="0.25">
      <c r="A105" s="3" t="s">
        <v>147</v>
      </c>
      <c r="B105" s="3">
        <v>83131.527317</v>
      </c>
    </row>
    <row r="106" spans="1:2" x14ac:dyDescent="0.25">
      <c r="A106" s="3" t="s">
        <v>146</v>
      </c>
      <c r="B106" s="3">
        <v>85509.209581999996</v>
      </c>
    </row>
    <row r="107" spans="1:2" x14ac:dyDescent="0.25">
      <c r="A107" s="3" t="s">
        <v>145</v>
      </c>
      <c r="B107" s="3">
        <v>85281.551109000007</v>
      </c>
    </row>
    <row r="108" spans="1:2" x14ac:dyDescent="0.25">
      <c r="A108" s="3" t="s">
        <v>144</v>
      </c>
      <c r="B108" s="3">
        <v>86488.083924000006</v>
      </c>
    </row>
    <row r="109" spans="1:2" x14ac:dyDescent="0.25">
      <c r="A109" s="3" t="s">
        <v>143</v>
      </c>
      <c r="B109" s="3">
        <v>88140.480607000005</v>
      </c>
    </row>
    <row r="110" spans="1:2" x14ac:dyDescent="0.25">
      <c r="A110" s="3" t="s">
        <v>142</v>
      </c>
      <c r="B110" s="3">
        <v>92197.845679999999</v>
      </c>
    </row>
    <row r="111" spans="1:2" x14ac:dyDescent="0.25">
      <c r="A111" s="3" t="s">
        <v>141</v>
      </c>
      <c r="B111" s="3">
        <v>89600.72</v>
      </c>
    </row>
    <row r="112" spans="1:2" x14ac:dyDescent="0.25">
      <c r="A112" s="3" t="s">
        <v>140</v>
      </c>
      <c r="B112" s="3">
        <v>88812.85</v>
      </c>
    </row>
    <row r="113" spans="1:2" x14ac:dyDescent="0.25">
      <c r="A113" s="3" t="s">
        <v>139</v>
      </c>
      <c r="B113" s="3">
        <v>91989.52</v>
      </c>
    </row>
    <row r="114" spans="1:2" x14ac:dyDescent="0.25">
      <c r="A114" s="3" t="s">
        <v>138</v>
      </c>
      <c r="B114" s="3">
        <v>92045.75</v>
      </c>
    </row>
    <row r="115" spans="1:2" x14ac:dyDescent="0.25">
      <c r="A115" s="3" t="s">
        <v>137</v>
      </c>
      <c r="B115" s="3">
        <v>89105.35</v>
      </c>
    </row>
    <row r="116" spans="1:2" x14ac:dyDescent="0.25">
      <c r="A116" s="3" t="s">
        <v>136</v>
      </c>
      <c r="B116" s="3">
        <v>89681.46</v>
      </c>
    </row>
    <row r="117" spans="1:2" x14ac:dyDescent="0.25">
      <c r="A117" s="3" t="s">
        <v>135</v>
      </c>
      <c r="B117" s="3">
        <v>92793.69</v>
      </c>
    </row>
    <row r="118" spans="1:2" x14ac:dyDescent="0.25">
      <c r="A118" s="3" t="s">
        <v>134</v>
      </c>
      <c r="B118" s="3">
        <v>96162.3</v>
      </c>
    </row>
    <row r="119" spans="1:2" x14ac:dyDescent="0.25">
      <c r="A119" s="3" t="s">
        <v>133</v>
      </c>
      <c r="B119" s="3">
        <v>94026.23</v>
      </c>
    </row>
    <row r="120" spans="1:2" x14ac:dyDescent="0.25">
      <c r="A120" s="3" t="s">
        <v>132</v>
      </c>
      <c r="B120" s="3">
        <v>94200.5</v>
      </c>
    </row>
    <row r="121" spans="1:2" x14ac:dyDescent="0.25">
      <c r="A121" s="3" t="s">
        <v>131</v>
      </c>
      <c r="B121" s="3">
        <v>96384.78</v>
      </c>
    </row>
    <row r="122" spans="1:2" x14ac:dyDescent="0.25">
      <c r="A122" s="3" t="s">
        <v>130</v>
      </c>
      <c r="B122" s="3">
        <v>99448.45</v>
      </c>
    </row>
    <row r="123" spans="1:2" x14ac:dyDescent="0.25">
      <c r="A123" s="3" t="s">
        <v>129</v>
      </c>
      <c r="B123" s="3">
        <v>99612.11</v>
      </c>
    </row>
    <row r="124" spans="1:2" x14ac:dyDescent="0.25">
      <c r="A124" s="3" t="s">
        <v>128</v>
      </c>
      <c r="B124" s="3">
        <v>101588.32</v>
      </c>
    </row>
    <row r="125" spans="1:2" x14ac:dyDescent="0.25">
      <c r="A125" s="3" t="s">
        <v>127</v>
      </c>
      <c r="B125" s="3">
        <v>102585.05</v>
      </c>
    </row>
    <row r="126" spans="1:2" x14ac:dyDescent="0.25">
      <c r="A126" s="3" t="s">
        <v>126</v>
      </c>
      <c r="B126" s="3">
        <v>107457.79</v>
      </c>
    </row>
    <row r="127" spans="1:2" x14ac:dyDescent="0.25">
      <c r="A127" s="3" t="s">
        <v>125</v>
      </c>
      <c r="B127" s="3">
        <v>124958.35</v>
      </c>
    </row>
    <row r="128" spans="1:2" x14ac:dyDescent="0.25">
      <c r="A128" s="3" t="s">
        <v>124</v>
      </c>
      <c r="B128" s="3">
        <v>129673.39</v>
      </c>
    </row>
    <row r="129" spans="1:2" x14ac:dyDescent="0.25">
      <c r="A129" s="3" t="s">
        <v>123</v>
      </c>
      <c r="B129" s="3">
        <v>135265.73000000001</v>
      </c>
    </row>
    <row r="130" spans="1:2" x14ac:dyDescent="0.25">
      <c r="A130" s="3" t="s">
        <v>122</v>
      </c>
      <c r="B130" s="3">
        <v>137479.51999999999</v>
      </c>
    </row>
    <row r="131" spans="1:2" x14ac:dyDescent="0.25">
      <c r="A131" s="3" t="s">
        <v>121</v>
      </c>
      <c r="B131" s="3">
        <v>138954.28</v>
      </c>
    </row>
    <row r="132" spans="1:2" x14ac:dyDescent="0.25">
      <c r="A132" s="3" t="s">
        <v>120</v>
      </c>
      <c r="B132" s="3">
        <v>138433.18</v>
      </c>
    </row>
    <row r="133" spans="1:2" x14ac:dyDescent="0.25">
      <c r="A133" s="3" t="s">
        <v>119</v>
      </c>
      <c r="B133" s="3">
        <v>138671.79999999999</v>
      </c>
    </row>
    <row r="134" spans="1:2" x14ac:dyDescent="0.25">
      <c r="A134" s="3" t="s">
        <v>118</v>
      </c>
      <c r="B134" s="3">
        <v>143021.60659196999</v>
      </c>
    </row>
    <row r="135" spans="1:2" x14ac:dyDescent="0.25">
      <c r="A135" s="3" t="s">
        <v>117</v>
      </c>
      <c r="B135" s="3">
        <v>149241.52606976</v>
      </c>
    </row>
    <row r="136" spans="1:2" x14ac:dyDescent="0.25">
      <c r="A136" s="3" t="s">
        <v>116</v>
      </c>
      <c r="B136" s="3">
        <v>149012.36164096999</v>
      </c>
    </row>
    <row r="137" spans="1:2" x14ac:dyDescent="0.25">
      <c r="A137" s="3" t="s">
        <v>115</v>
      </c>
      <c r="B137" s="3">
        <v>148649.38268216999</v>
      </c>
    </row>
    <row r="138" spans="1:2" x14ac:dyDescent="0.25">
      <c r="A138" s="3" t="s">
        <v>114</v>
      </c>
      <c r="B138" s="3">
        <v>142628.38113386001</v>
      </c>
    </row>
    <row r="139" spans="1:2" x14ac:dyDescent="0.25">
      <c r="A139" s="3" t="s">
        <v>113</v>
      </c>
      <c r="B139" s="3">
        <v>140737.18592749999</v>
      </c>
    </row>
    <row r="140" spans="1:2" x14ac:dyDescent="0.25">
      <c r="A140" s="3" t="s">
        <v>112</v>
      </c>
      <c r="B140" s="3">
        <v>141006.97086875999</v>
      </c>
    </row>
    <row r="141" spans="1:2" x14ac:dyDescent="0.25">
      <c r="A141" s="3" t="s">
        <v>111</v>
      </c>
      <c r="B141" s="3">
        <v>148387.92705226</v>
      </c>
    </row>
    <row r="142" spans="1:2" x14ac:dyDescent="0.25">
      <c r="A142" s="3" t="s">
        <v>110</v>
      </c>
      <c r="B142" s="3">
        <v>147950.07246937</v>
      </c>
    </row>
    <row r="143" spans="1:2" x14ac:dyDescent="0.25">
      <c r="A143" s="3" t="s">
        <v>109</v>
      </c>
      <c r="B143" s="3">
        <v>145417.35860077999</v>
      </c>
    </row>
    <row r="144" spans="1:2" x14ac:dyDescent="0.25">
      <c r="A144" s="3" t="s">
        <v>108</v>
      </c>
      <c r="B144" s="3">
        <v>143235.22446316999</v>
      </c>
    </row>
    <row r="145" spans="1:2" x14ac:dyDescent="0.25">
      <c r="A145" s="3" t="s">
        <v>107</v>
      </c>
      <c r="B145" s="3">
        <v>142187.7756664</v>
      </c>
    </row>
    <row r="146" spans="1:2" x14ac:dyDescent="0.25">
      <c r="A146" s="3" t="s">
        <v>106</v>
      </c>
      <c r="B146" s="3">
        <v>144621.11768920001</v>
      </c>
    </row>
    <row r="147" spans="1:2" x14ac:dyDescent="0.25">
      <c r="A147" s="3" t="s">
        <v>105</v>
      </c>
      <c r="B147" s="3">
        <v>142546.22447096999</v>
      </c>
    </row>
    <row r="148" spans="1:2" x14ac:dyDescent="0.25">
      <c r="A148" s="3" t="s">
        <v>104</v>
      </c>
      <c r="B148" s="3">
        <v>139781.38857512001</v>
      </c>
    </row>
    <row r="149" spans="1:2" x14ac:dyDescent="0.25">
      <c r="A149" s="3" t="s">
        <v>103</v>
      </c>
      <c r="B149" s="3">
        <v>138497.60234032001</v>
      </c>
    </row>
    <row r="150" spans="1:2" x14ac:dyDescent="0.25">
      <c r="A150" s="3" t="s">
        <v>102</v>
      </c>
      <c r="B150" s="3">
        <v>135314.81292497</v>
      </c>
    </row>
    <row r="151" spans="1:2" x14ac:dyDescent="0.25">
      <c r="A151" s="3" t="s">
        <v>101</v>
      </c>
      <c r="B151" s="3">
        <v>134973.58047615</v>
      </c>
    </row>
    <row r="152" spans="1:2" x14ac:dyDescent="0.25">
      <c r="A152" s="3" t="s">
        <v>100</v>
      </c>
      <c r="B152" s="3">
        <v>134998.73495257</v>
      </c>
    </row>
    <row r="153" spans="1:2" x14ac:dyDescent="0.25">
      <c r="A153" s="3" t="s">
        <v>99</v>
      </c>
      <c r="B153" s="3">
        <v>137264.09513956</v>
      </c>
    </row>
    <row r="154" spans="1:2" x14ac:dyDescent="0.25">
      <c r="A154" s="3" t="s">
        <v>98</v>
      </c>
      <c r="B154" s="3">
        <v>137565.14003052001</v>
      </c>
    </row>
    <row r="155" spans="1:2" x14ac:dyDescent="0.25">
      <c r="A155" s="3" t="s">
        <v>97</v>
      </c>
      <c r="B155" s="3">
        <v>140115.27290934999</v>
      </c>
    </row>
    <row r="156" spans="1:2" x14ac:dyDescent="0.25">
      <c r="A156" s="3" t="s">
        <v>96</v>
      </c>
      <c r="B156" s="3">
        <v>139129.32685718001</v>
      </c>
    </row>
    <row r="157" spans="1:2" x14ac:dyDescent="0.25">
      <c r="A157" s="3" t="s">
        <v>95</v>
      </c>
      <c r="B157" s="3">
        <v>136048.26985858</v>
      </c>
    </row>
    <row r="158" spans="1:2" x14ac:dyDescent="0.25">
      <c r="A158" s="3" t="s">
        <v>94</v>
      </c>
      <c r="B158" s="3">
        <v>136968.02550454001</v>
      </c>
    </row>
    <row r="159" spans="1:2" x14ac:dyDescent="0.25">
      <c r="A159" s="3" t="s">
        <v>93</v>
      </c>
      <c r="B159" s="3">
        <v>140053.68531375</v>
      </c>
    </row>
    <row r="160" spans="1:2" x14ac:dyDescent="0.25">
      <c r="A160" s="3" t="s">
        <v>92</v>
      </c>
      <c r="B160" s="3">
        <v>138403.92643106999</v>
      </c>
    </row>
    <row r="161" spans="1:2" x14ac:dyDescent="0.25">
      <c r="A161" s="3" t="s">
        <v>91</v>
      </c>
      <c r="B161" s="3">
        <v>132892.38164760001</v>
      </c>
    </row>
    <row r="162" spans="1:2" x14ac:dyDescent="0.25">
      <c r="A162" s="3" t="s">
        <v>90</v>
      </c>
      <c r="B162" s="3">
        <v>130158.01490409</v>
      </c>
    </row>
    <row r="163" spans="1:2" x14ac:dyDescent="0.25">
      <c r="A163" s="3" t="s">
        <v>89</v>
      </c>
      <c r="B163" s="3">
        <v>129296.85568258</v>
      </c>
    </row>
    <row r="164" spans="1:2" x14ac:dyDescent="0.25">
      <c r="A164" s="3" t="s">
        <v>88</v>
      </c>
      <c r="B164" s="3">
        <v>128561.01439051</v>
      </c>
    </row>
    <row r="165" spans="1:2" x14ac:dyDescent="0.25">
      <c r="A165" s="3" t="s">
        <v>87</v>
      </c>
      <c r="B165" s="3">
        <v>129777.31025789</v>
      </c>
    </row>
    <row r="166" spans="1:2" x14ac:dyDescent="0.25">
      <c r="A166" s="3" t="s">
        <v>86</v>
      </c>
      <c r="B166" s="3">
        <v>130399.61388444</v>
      </c>
    </row>
    <row r="167" spans="1:2" x14ac:dyDescent="0.25">
      <c r="A167" s="3" t="s">
        <v>85</v>
      </c>
      <c r="B167" s="3">
        <v>130338.33439467</v>
      </c>
    </row>
    <row r="168" spans="1:2" x14ac:dyDescent="0.25">
      <c r="A168" s="3" t="s">
        <v>84</v>
      </c>
      <c r="B168" s="3">
        <v>130072.19983483</v>
      </c>
    </row>
    <row r="169" spans="1:2" x14ac:dyDescent="0.25">
      <c r="A169" s="3" t="s">
        <v>83</v>
      </c>
      <c r="B169" s="3">
        <v>131524.20768630999</v>
      </c>
    </row>
    <row r="170" spans="1:2" x14ac:dyDescent="0.25">
      <c r="A170" s="3" t="s">
        <v>82</v>
      </c>
      <c r="B170" s="3">
        <v>137086.70213816999</v>
      </c>
    </row>
    <row r="171" spans="1:2" x14ac:dyDescent="0.25">
      <c r="A171" s="3" t="s">
        <v>81</v>
      </c>
      <c r="B171" s="3">
        <v>135078.32025141001</v>
      </c>
    </row>
    <row r="172" spans="1:2" x14ac:dyDescent="0.25">
      <c r="A172" s="3" t="s">
        <v>80</v>
      </c>
      <c r="B172" s="3">
        <v>133996.39938320999</v>
      </c>
    </row>
    <row r="173" spans="1:2" x14ac:dyDescent="0.25">
      <c r="A173" s="3" t="s">
        <v>79</v>
      </c>
      <c r="B173" s="3">
        <v>135317.29144003999</v>
      </c>
    </row>
    <row r="174" spans="1:2" x14ac:dyDescent="0.25">
      <c r="A174" s="3" t="s">
        <v>78</v>
      </c>
      <c r="B174" s="3">
        <v>133831.26560925</v>
      </c>
    </row>
    <row r="175" spans="1:2" x14ac:dyDescent="0.25">
      <c r="A175" s="3" t="s">
        <v>77</v>
      </c>
      <c r="B175" s="3">
        <v>139303.81883807</v>
      </c>
    </row>
    <row r="176" spans="1:2" x14ac:dyDescent="0.25">
      <c r="A176" s="3" t="s">
        <v>76</v>
      </c>
      <c r="B176" s="3">
        <v>143728.60649084</v>
      </c>
    </row>
    <row r="177" spans="1:2" x14ac:dyDescent="0.25">
      <c r="A177" s="3" t="s">
        <v>75</v>
      </c>
      <c r="B177" s="3">
        <v>147567.77799929999</v>
      </c>
    </row>
    <row r="178" spans="1:2" x14ac:dyDescent="0.25">
      <c r="A178" s="3" t="s">
        <v>74</v>
      </c>
      <c r="B178" s="3">
        <v>151462.18257144</v>
      </c>
    </row>
    <row r="179" spans="1:2" x14ac:dyDescent="0.25">
      <c r="A179" s="3" t="s">
        <v>73</v>
      </c>
      <c r="B179" s="3">
        <v>154260.27912431999</v>
      </c>
    </row>
    <row r="180" spans="1:2" x14ac:dyDescent="0.25">
      <c r="A180" s="3" t="s">
        <v>72</v>
      </c>
      <c r="B180" s="3">
        <v>154465.22140400001</v>
      </c>
    </row>
    <row r="181" spans="1:2" x14ac:dyDescent="0.25">
      <c r="A181" s="3" t="s">
        <v>71</v>
      </c>
      <c r="B181" s="3">
        <v>154136.8663808</v>
      </c>
    </row>
    <row r="182" spans="1:2" x14ac:dyDescent="0.25">
      <c r="A182" s="3" t="s">
        <v>70</v>
      </c>
      <c r="B182" s="3">
        <v>157942.73592923</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E47B-1300-489C-876A-F90BD6F0DB92}">
  <dimension ref="A1:K183"/>
  <sheetViews>
    <sheetView zoomScale="85" zoomScaleNormal="85" workbookViewId="0">
      <selection activeCell="D24" sqref="D24"/>
    </sheetView>
  </sheetViews>
  <sheetFormatPr baseColWidth="10" defaultColWidth="9.140625" defaultRowHeight="15" x14ac:dyDescent="0.25"/>
  <cols>
    <col min="1" max="4" width="9.140625" style="3"/>
    <col min="5" max="5" width="11.5703125" style="16" bestFit="1" customWidth="1"/>
    <col min="6" max="6" width="9.140625" style="3"/>
    <col min="7" max="7" width="8.85546875" style="3" customWidth="1"/>
    <col min="8" max="16384" width="9.140625" style="3"/>
  </cols>
  <sheetData>
    <row r="1" spans="1:11" x14ac:dyDescent="0.25">
      <c r="B1" s="3" t="s">
        <v>257</v>
      </c>
    </row>
    <row r="2" spans="1:11" x14ac:dyDescent="0.25">
      <c r="B2" s="3" t="s">
        <v>256</v>
      </c>
      <c r="K2" s="18" t="s">
        <v>263</v>
      </c>
    </row>
    <row r="3" spans="1:11" x14ac:dyDescent="0.25">
      <c r="A3" s="3" t="s">
        <v>249</v>
      </c>
      <c r="B3" s="3">
        <v>33229.043361999997</v>
      </c>
    </row>
    <row r="4" spans="1:11" x14ac:dyDescent="0.25">
      <c r="A4" s="3" t="s">
        <v>248</v>
      </c>
      <c r="B4" s="3">
        <v>33491.518213000003</v>
      </c>
    </row>
    <row r="5" spans="1:11" x14ac:dyDescent="0.25">
      <c r="A5" s="3" t="s">
        <v>247</v>
      </c>
      <c r="B5" s="3">
        <v>34660.179977</v>
      </c>
    </row>
    <row r="6" spans="1:11" x14ac:dyDescent="0.25">
      <c r="A6" s="3" t="s">
        <v>246</v>
      </c>
      <c r="B6" s="3">
        <v>34431.526529000002</v>
      </c>
    </row>
    <row r="7" spans="1:11" x14ac:dyDescent="0.25">
      <c r="A7" s="3" t="s">
        <v>245</v>
      </c>
      <c r="B7" s="3">
        <v>35326.166485000002</v>
      </c>
    </row>
    <row r="8" spans="1:11" x14ac:dyDescent="0.25">
      <c r="A8" s="3" t="s">
        <v>244</v>
      </c>
      <c r="B8" s="3">
        <v>36556.672427999998</v>
      </c>
    </row>
    <row r="9" spans="1:11" x14ac:dyDescent="0.25">
      <c r="A9" s="3" t="s">
        <v>243</v>
      </c>
      <c r="B9" s="3">
        <v>36659.609220999999</v>
      </c>
    </row>
    <row r="10" spans="1:11" x14ac:dyDescent="0.25">
      <c r="A10" s="3" t="s">
        <v>242</v>
      </c>
      <c r="B10" s="3">
        <v>37462.708851000003</v>
      </c>
    </row>
    <row r="11" spans="1:11" x14ac:dyDescent="0.25">
      <c r="A11" s="3" t="s">
        <v>241</v>
      </c>
      <c r="B11" s="3">
        <v>37105.903643999998</v>
      </c>
    </row>
    <row r="12" spans="1:11" x14ac:dyDescent="0.25">
      <c r="A12" s="3" t="s">
        <v>240</v>
      </c>
      <c r="B12" s="3">
        <v>38052.831415000001</v>
      </c>
    </row>
    <row r="13" spans="1:11" x14ac:dyDescent="0.25">
      <c r="A13" s="3" t="s">
        <v>239</v>
      </c>
      <c r="B13" s="3">
        <v>39562.585502000002</v>
      </c>
    </row>
    <row r="14" spans="1:11" x14ac:dyDescent="0.25">
      <c r="A14" s="3" t="s">
        <v>238</v>
      </c>
      <c r="B14" s="3">
        <v>42650.590969999997</v>
      </c>
      <c r="G14" s="17"/>
    </row>
    <row r="15" spans="1:11" x14ac:dyDescent="0.25">
      <c r="A15" s="3" t="s">
        <v>237</v>
      </c>
      <c r="B15" s="3">
        <v>40449.595999999998</v>
      </c>
      <c r="G15" s="17"/>
    </row>
    <row r="16" spans="1:11" x14ac:dyDescent="0.25">
      <c r="A16" s="3" t="s">
        <v>236</v>
      </c>
      <c r="B16" s="3">
        <v>40715.4568</v>
      </c>
      <c r="G16" s="17"/>
    </row>
    <row r="17" spans="1:7" x14ac:dyDescent="0.25">
      <c r="A17" s="3" t="s">
        <v>235</v>
      </c>
      <c r="B17" s="3">
        <v>41985.222800000003</v>
      </c>
      <c r="G17" s="17"/>
    </row>
    <row r="18" spans="1:7" x14ac:dyDescent="0.25">
      <c r="A18" s="3" t="s">
        <v>234</v>
      </c>
      <c r="B18" s="3">
        <v>42249.101074999999</v>
      </c>
      <c r="G18" s="17"/>
    </row>
    <row r="19" spans="1:7" x14ac:dyDescent="0.25">
      <c r="A19" s="3" t="s">
        <v>233</v>
      </c>
      <c r="B19" s="3">
        <v>41496.145273000002</v>
      </c>
      <c r="G19" s="17"/>
    </row>
    <row r="20" spans="1:7" x14ac:dyDescent="0.25">
      <c r="A20" s="3" t="s">
        <v>232</v>
      </c>
      <c r="B20" s="3">
        <v>41727.030869000002</v>
      </c>
      <c r="G20" s="17"/>
    </row>
    <row r="21" spans="1:7" x14ac:dyDescent="0.25">
      <c r="A21" s="3" t="s">
        <v>231</v>
      </c>
      <c r="B21" s="3">
        <v>43670.59921</v>
      </c>
      <c r="G21" s="17"/>
    </row>
    <row r="22" spans="1:7" x14ac:dyDescent="0.25">
      <c r="A22" s="3" t="s">
        <v>230</v>
      </c>
      <c r="B22" s="3">
        <v>45088.849836000001</v>
      </c>
      <c r="G22" s="17"/>
    </row>
    <row r="23" spans="1:7" x14ac:dyDescent="0.25">
      <c r="A23" s="3" t="s">
        <v>229</v>
      </c>
      <c r="B23" s="3">
        <v>44245.354837999999</v>
      </c>
      <c r="G23" s="17"/>
    </row>
    <row r="24" spans="1:7" x14ac:dyDescent="0.25">
      <c r="A24" s="3" t="s">
        <v>228</v>
      </c>
      <c r="B24" s="3">
        <v>45266.236599999997</v>
      </c>
      <c r="G24" s="17"/>
    </row>
    <row r="25" spans="1:7" x14ac:dyDescent="0.25">
      <c r="A25" s="3" t="s">
        <v>227</v>
      </c>
      <c r="B25" s="3">
        <v>44833.489528999999</v>
      </c>
      <c r="G25" s="17"/>
    </row>
    <row r="26" spans="1:7" x14ac:dyDescent="0.25">
      <c r="A26" s="3" t="s">
        <v>226</v>
      </c>
      <c r="B26" s="3">
        <v>48766.340076</v>
      </c>
      <c r="G26" s="17"/>
    </row>
    <row r="27" spans="1:7" x14ac:dyDescent="0.25">
      <c r="A27" s="3" t="s">
        <v>225</v>
      </c>
      <c r="B27" s="3">
        <v>47660.215421000001</v>
      </c>
      <c r="G27" s="17"/>
    </row>
    <row r="28" spans="1:7" x14ac:dyDescent="0.25">
      <c r="A28" s="3" t="s">
        <v>224</v>
      </c>
      <c r="B28" s="3">
        <v>47244.886146999997</v>
      </c>
      <c r="G28" s="17"/>
    </row>
    <row r="29" spans="1:7" x14ac:dyDescent="0.25">
      <c r="A29" s="3" t="s">
        <v>223</v>
      </c>
      <c r="B29" s="3">
        <v>48303.579478</v>
      </c>
      <c r="G29" s="17"/>
    </row>
    <row r="30" spans="1:7" x14ac:dyDescent="0.25">
      <c r="A30" s="3" t="s">
        <v>222</v>
      </c>
      <c r="B30" s="3">
        <v>48877.633689000002</v>
      </c>
      <c r="G30" s="17"/>
    </row>
    <row r="31" spans="1:7" x14ac:dyDescent="0.25">
      <c r="A31" s="3" t="s">
        <v>221</v>
      </c>
      <c r="B31" s="3">
        <v>49049.267699000004</v>
      </c>
      <c r="G31" s="17"/>
    </row>
    <row r="32" spans="1:7" x14ac:dyDescent="0.25">
      <c r="A32" s="3" t="s">
        <v>220</v>
      </c>
      <c r="B32" s="3">
        <v>49688.612642</v>
      </c>
      <c r="G32" s="17"/>
    </row>
    <row r="33" spans="1:7" x14ac:dyDescent="0.25">
      <c r="A33" s="3" t="s">
        <v>219</v>
      </c>
      <c r="B33" s="3">
        <v>51211.407458000001</v>
      </c>
      <c r="G33" s="17"/>
    </row>
    <row r="34" spans="1:7" x14ac:dyDescent="0.25">
      <c r="A34" s="3" t="s">
        <v>218</v>
      </c>
      <c r="B34" s="3">
        <v>52317.047715000001</v>
      </c>
      <c r="G34" s="17"/>
    </row>
    <row r="35" spans="1:7" x14ac:dyDescent="0.25">
      <c r="A35" s="3" t="s">
        <v>217</v>
      </c>
      <c r="B35" s="3">
        <v>51704.109815000003</v>
      </c>
      <c r="G35" s="17"/>
    </row>
    <row r="36" spans="1:7" x14ac:dyDescent="0.25">
      <c r="A36" s="3" t="s">
        <v>216</v>
      </c>
      <c r="B36" s="3">
        <v>52997.567365000003</v>
      </c>
      <c r="G36" s="17"/>
    </row>
    <row r="37" spans="1:7" x14ac:dyDescent="0.25">
      <c r="A37" s="3" t="s">
        <v>215</v>
      </c>
      <c r="B37" s="3">
        <v>53405.378358000002</v>
      </c>
      <c r="G37" s="17"/>
    </row>
    <row r="38" spans="1:7" x14ac:dyDescent="0.25">
      <c r="A38" s="3" t="s">
        <v>214</v>
      </c>
      <c r="B38" s="3">
        <v>57246.572748999999</v>
      </c>
      <c r="G38" s="17"/>
    </row>
    <row r="39" spans="1:7" x14ac:dyDescent="0.25">
      <c r="A39" s="3" t="s">
        <v>213</v>
      </c>
      <c r="B39" s="3">
        <v>55965.265347</v>
      </c>
      <c r="G39" s="17"/>
    </row>
    <row r="40" spans="1:7" x14ac:dyDescent="0.25">
      <c r="A40" s="3" t="s">
        <v>212</v>
      </c>
      <c r="B40" s="3">
        <v>58133.640876999998</v>
      </c>
      <c r="G40" s="17"/>
    </row>
    <row r="41" spans="1:7" x14ac:dyDescent="0.25">
      <c r="A41" s="3" t="s">
        <v>211</v>
      </c>
      <c r="B41" s="3">
        <v>56992.099070999997</v>
      </c>
      <c r="G41" s="17"/>
    </row>
    <row r="42" spans="1:7" x14ac:dyDescent="0.25">
      <c r="A42" s="3" t="s">
        <v>210</v>
      </c>
      <c r="B42" s="3">
        <v>57213.375225999996</v>
      </c>
      <c r="G42" s="17"/>
    </row>
    <row r="43" spans="1:7" x14ac:dyDescent="0.25">
      <c r="A43" s="3" t="s">
        <v>209</v>
      </c>
      <c r="B43" s="3">
        <v>56633.895273000002</v>
      </c>
      <c r="G43" s="17"/>
    </row>
    <row r="44" spans="1:7" x14ac:dyDescent="0.25">
      <c r="A44" s="3" t="s">
        <v>208</v>
      </c>
      <c r="B44" s="3">
        <v>57058.777285999997</v>
      </c>
      <c r="G44" s="17"/>
    </row>
    <row r="45" spans="1:7" x14ac:dyDescent="0.25">
      <c r="A45" s="3" t="s">
        <v>207</v>
      </c>
      <c r="B45" s="3">
        <v>58546.303126999999</v>
      </c>
      <c r="G45" s="17"/>
    </row>
    <row r="46" spans="1:7" x14ac:dyDescent="0.25">
      <c r="A46" s="3" t="s">
        <v>206</v>
      </c>
      <c r="B46" s="3">
        <v>58304.363878999997</v>
      </c>
      <c r="G46" s="17"/>
    </row>
    <row r="47" spans="1:7" x14ac:dyDescent="0.25">
      <c r="A47" s="3" t="s">
        <v>205</v>
      </c>
      <c r="B47" s="3">
        <v>57289.205950000003</v>
      </c>
      <c r="G47" s="17"/>
    </row>
    <row r="48" spans="1:7" x14ac:dyDescent="0.25">
      <c r="A48" s="3" t="s">
        <v>204</v>
      </c>
      <c r="B48" s="3">
        <v>57220.3292</v>
      </c>
      <c r="G48" s="17"/>
    </row>
    <row r="49" spans="1:7" x14ac:dyDescent="0.25">
      <c r="A49" s="3" t="s">
        <v>203</v>
      </c>
      <c r="B49" s="3">
        <v>57879.348680000003</v>
      </c>
      <c r="G49" s="17"/>
    </row>
    <row r="50" spans="1:7" x14ac:dyDescent="0.25">
      <c r="A50" s="3" t="s">
        <v>202</v>
      </c>
      <c r="B50" s="3">
        <v>62228.834108000003</v>
      </c>
      <c r="G50" s="17"/>
    </row>
    <row r="51" spans="1:7" x14ac:dyDescent="0.25">
      <c r="A51" s="3" t="s">
        <v>201</v>
      </c>
      <c r="B51" s="3">
        <v>59918.018606999998</v>
      </c>
      <c r="G51" s="17"/>
    </row>
    <row r="52" spans="1:7" x14ac:dyDescent="0.25">
      <c r="A52" s="3" t="s">
        <v>200</v>
      </c>
      <c r="B52" s="3">
        <v>60119.991148000001</v>
      </c>
      <c r="G52" s="17"/>
    </row>
    <row r="53" spans="1:7" x14ac:dyDescent="0.25">
      <c r="A53" s="3" t="s">
        <v>199</v>
      </c>
      <c r="B53" s="3">
        <v>60927.171467</v>
      </c>
      <c r="G53" s="17"/>
    </row>
    <row r="54" spans="1:7" x14ac:dyDescent="0.25">
      <c r="A54" s="3" t="s">
        <v>198</v>
      </c>
      <c r="B54" s="3">
        <v>59902.825280999998</v>
      </c>
      <c r="G54" s="17"/>
    </row>
    <row r="55" spans="1:7" x14ac:dyDescent="0.25">
      <c r="A55" s="3" t="s">
        <v>197</v>
      </c>
      <c r="B55" s="3">
        <v>59270.166587</v>
      </c>
      <c r="G55" s="17"/>
    </row>
    <row r="56" spans="1:7" x14ac:dyDescent="0.25">
      <c r="A56" s="3" t="s">
        <v>196</v>
      </c>
      <c r="B56" s="3">
        <v>59699.738731999998</v>
      </c>
      <c r="G56" s="17"/>
    </row>
    <row r="57" spans="1:7" x14ac:dyDescent="0.25">
      <c r="A57" s="3" t="s">
        <v>195</v>
      </c>
      <c r="B57" s="3">
        <v>60920.827366999998</v>
      </c>
      <c r="G57" s="17"/>
    </row>
    <row r="58" spans="1:7" x14ac:dyDescent="0.25">
      <c r="A58" s="3" t="s">
        <v>194</v>
      </c>
      <c r="B58" s="3">
        <v>61600.808448999996</v>
      </c>
      <c r="G58" s="17"/>
    </row>
    <row r="59" spans="1:7" x14ac:dyDescent="0.25">
      <c r="A59" s="3" t="s">
        <v>193</v>
      </c>
      <c r="B59" s="3">
        <v>62049.079352000001</v>
      </c>
      <c r="G59" s="17"/>
    </row>
    <row r="60" spans="1:7" x14ac:dyDescent="0.25">
      <c r="A60" s="3" t="s">
        <v>192</v>
      </c>
      <c r="B60" s="3">
        <v>61736.258654999998</v>
      </c>
      <c r="G60" s="17"/>
    </row>
    <row r="61" spans="1:7" x14ac:dyDescent="0.25">
      <c r="A61" s="3" t="s">
        <v>191</v>
      </c>
      <c r="B61" s="3">
        <v>63174.026530000003</v>
      </c>
      <c r="G61" s="17"/>
    </row>
    <row r="62" spans="1:7" x14ac:dyDescent="0.25">
      <c r="A62" s="3" t="s">
        <v>190</v>
      </c>
      <c r="B62" s="3">
        <v>68382.058718999993</v>
      </c>
      <c r="G62" s="17"/>
    </row>
    <row r="63" spans="1:7" x14ac:dyDescent="0.25">
      <c r="A63" s="3" t="s">
        <v>189</v>
      </c>
      <c r="B63" s="3">
        <v>65926.085481000002</v>
      </c>
      <c r="G63" s="17"/>
    </row>
    <row r="64" spans="1:7" x14ac:dyDescent="0.25">
      <c r="A64" s="3" t="s">
        <v>188</v>
      </c>
      <c r="B64" s="3">
        <v>66294.286846999996</v>
      </c>
      <c r="G64" s="17"/>
    </row>
    <row r="65" spans="1:7" x14ac:dyDescent="0.25">
      <c r="A65" s="3" t="s">
        <v>187</v>
      </c>
      <c r="B65" s="3">
        <v>64786.879875999999</v>
      </c>
      <c r="G65" s="17"/>
    </row>
    <row r="66" spans="1:7" x14ac:dyDescent="0.25">
      <c r="A66" s="3" t="s">
        <v>186</v>
      </c>
      <c r="B66" s="3">
        <v>64051.264487</v>
      </c>
      <c r="G66" s="17"/>
    </row>
    <row r="67" spans="1:7" x14ac:dyDescent="0.25">
      <c r="A67" s="3" t="s">
        <v>185</v>
      </c>
      <c r="B67" s="3">
        <v>63795.321990999997</v>
      </c>
      <c r="G67" s="17"/>
    </row>
    <row r="68" spans="1:7" x14ac:dyDescent="0.25">
      <c r="A68" s="3" t="s">
        <v>184</v>
      </c>
      <c r="B68" s="3">
        <v>63748.780117000002</v>
      </c>
      <c r="G68" s="17"/>
    </row>
    <row r="69" spans="1:7" x14ac:dyDescent="0.25">
      <c r="A69" s="3" t="s">
        <v>183</v>
      </c>
      <c r="B69" s="3">
        <v>65306.150665000001</v>
      </c>
      <c r="G69" s="17"/>
    </row>
    <row r="70" spans="1:7" x14ac:dyDescent="0.25">
      <c r="A70" s="3" t="s">
        <v>182</v>
      </c>
      <c r="B70" s="3">
        <v>64632.756175000002</v>
      </c>
      <c r="G70" s="17"/>
    </row>
    <row r="71" spans="1:7" x14ac:dyDescent="0.25">
      <c r="A71" s="3" t="s">
        <v>181</v>
      </c>
      <c r="B71" s="3">
        <v>64249.869078999996</v>
      </c>
      <c r="G71" s="17"/>
    </row>
    <row r="72" spans="1:7" x14ac:dyDescent="0.25">
      <c r="A72" s="3" t="s">
        <v>180</v>
      </c>
      <c r="B72" s="3">
        <v>66609.961716000005</v>
      </c>
      <c r="G72" s="17"/>
    </row>
    <row r="73" spans="1:7" x14ac:dyDescent="0.25">
      <c r="A73" s="3" t="s">
        <v>179</v>
      </c>
      <c r="B73" s="3">
        <v>65910.064054000002</v>
      </c>
      <c r="G73" s="17"/>
    </row>
    <row r="74" spans="1:7" x14ac:dyDescent="0.25">
      <c r="A74" s="3" t="s">
        <v>178</v>
      </c>
      <c r="B74" s="3">
        <v>71324.188332000005</v>
      </c>
      <c r="G74" s="17"/>
    </row>
    <row r="75" spans="1:7" x14ac:dyDescent="0.25">
      <c r="A75" s="3" t="s">
        <v>177</v>
      </c>
      <c r="B75" s="3">
        <v>69125.063372000004</v>
      </c>
      <c r="D75" s="14"/>
      <c r="F75" s="14"/>
      <c r="G75" s="17"/>
    </row>
    <row r="76" spans="1:7" x14ac:dyDescent="0.25">
      <c r="A76" s="3" t="s">
        <v>176</v>
      </c>
      <c r="B76" s="3">
        <v>68688.736732999998</v>
      </c>
      <c r="G76" s="17"/>
    </row>
    <row r="77" spans="1:7" x14ac:dyDescent="0.25">
      <c r="A77" s="3" t="s">
        <v>175</v>
      </c>
      <c r="B77" s="3">
        <v>66579.700708999997</v>
      </c>
      <c r="D77" s="3">
        <f>AVERAGE(B75:B77)</f>
        <v>68131.166937999995</v>
      </c>
      <c r="E77" s="16">
        <v>80222.53333333334</v>
      </c>
      <c r="F77" s="3">
        <f>AVERAGE(D75:D77)</f>
        <v>68131.166937999995</v>
      </c>
      <c r="G77" s="17">
        <f>D77+E77+F77</f>
        <v>216484.86720933334</v>
      </c>
    </row>
    <row r="78" spans="1:7" x14ac:dyDescent="0.25">
      <c r="A78" s="3" t="s">
        <v>174</v>
      </c>
      <c r="B78" s="3">
        <v>67225.167008000004</v>
      </c>
      <c r="G78" s="17">
        <f t="shared" ref="G78:G141" si="0">D78+E78+F78</f>
        <v>0</v>
      </c>
    </row>
    <row r="79" spans="1:7" x14ac:dyDescent="0.25">
      <c r="A79" s="3" t="s">
        <v>173</v>
      </c>
      <c r="B79" s="3">
        <v>66280.253698999994</v>
      </c>
      <c r="G79" s="17">
        <f t="shared" si="0"/>
        <v>0</v>
      </c>
    </row>
    <row r="80" spans="1:7" x14ac:dyDescent="0.25">
      <c r="A80" s="3" t="s">
        <v>172</v>
      </c>
      <c r="B80" s="3">
        <v>66503.993612999999</v>
      </c>
      <c r="D80" s="3">
        <f>AVERAGE(B78:B80)</f>
        <v>66669.804773333337</v>
      </c>
      <c r="E80" s="16">
        <v>83062.563333333339</v>
      </c>
      <c r="F80" s="3">
        <f>AVERAGE(D78:D80)</f>
        <v>66669.804773333337</v>
      </c>
      <c r="G80" s="17">
        <f t="shared" si="0"/>
        <v>216402.17288</v>
      </c>
    </row>
    <row r="81" spans="1:7" x14ac:dyDescent="0.25">
      <c r="A81" s="3" t="s">
        <v>171</v>
      </c>
      <c r="B81" s="3">
        <v>69531.202069000006</v>
      </c>
      <c r="G81" s="17">
        <f t="shared" si="0"/>
        <v>0</v>
      </c>
    </row>
    <row r="82" spans="1:7" x14ac:dyDescent="0.25">
      <c r="A82" s="3" t="s">
        <v>170</v>
      </c>
      <c r="B82" s="3">
        <v>70019.183306000006</v>
      </c>
      <c r="G82" s="17">
        <f t="shared" si="0"/>
        <v>0</v>
      </c>
    </row>
    <row r="83" spans="1:7" x14ac:dyDescent="0.25">
      <c r="A83" s="3" t="s">
        <v>169</v>
      </c>
      <c r="B83" s="3">
        <v>69258.836953000005</v>
      </c>
      <c r="D83" s="3">
        <f>AVERAGE(B81:B83)</f>
        <v>69603.074109333334</v>
      </c>
      <c r="E83" s="16">
        <v>86818.62</v>
      </c>
      <c r="F83" s="3">
        <f>AVERAGE(D81:D83)</f>
        <v>69603.074109333334</v>
      </c>
      <c r="G83" s="17">
        <f t="shared" si="0"/>
        <v>226024.76821866666</v>
      </c>
    </row>
    <row r="84" spans="1:7" x14ac:dyDescent="0.25">
      <c r="A84" s="3" t="s">
        <v>168</v>
      </c>
      <c r="B84" s="3">
        <v>69873.883130999995</v>
      </c>
      <c r="G84" s="17">
        <f t="shared" si="0"/>
        <v>0</v>
      </c>
    </row>
    <row r="85" spans="1:7" x14ac:dyDescent="0.25">
      <c r="A85" s="3" t="s">
        <v>167</v>
      </c>
      <c r="B85" s="3">
        <v>69853.550388999996</v>
      </c>
      <c r="G85" s="17">
        <f t="shared" si="0"/>
        <v>0</v>
      </c>
    </row>
    <row r="86" spans="1:7" x14ac:dyDescent="0.25">
      <c r="A86" s="3" t="s">
        <v>166</v>
      </c>
      <c r="B86" s="3">
        <v>73804.687214999998</v>
      </c>
      <c r="D86" s="3">
        <f>AVERAGE(B84:B86)</f>
        <v>71177.37357833334</v>
      </c>
      <c r="E86" s="16">
        <v>89536.3</v>
      </c>
      <c r="F86" s="3">
        <f>AVERAGE(D84:D86)</f>
        <v>71177.37357833334</v>
      </c>
      <c r="G86" s="17">
        <f t="shared" si="0"/>
        <v>231891.0471566667</v>
      </c>
    </row>
    <row r="87" spans="1:7" x14ac:dyDescent="0.25">
      <c r="A87" s="3" t="s">
        <v>165</v>
      </c>
      <c r="B87" s="3">
        <v>70918.412200000006</v>
      </c>
      <c r="G87" s="17">
        <f t="shared" si="0"/>
        <v>0</v>
      </c>
    </row>
    <row r="88" spans="1:7" x14ac:dyDescent="0.25">
      <c r="A88" s="3" t="s">
        <v>164</v>
      </c>
      <c r="B88" s="3">
        <v>72075.157699999996</v>
      </c>
      <c r="G88" s="17">
        <f t="shared" si="0"/>
        <v>0</v>
      </c>
    </row>
    <row r="89" spans="1:7" x14ac:dyDescent="0.25">
      <c r="A89" s="3" t="s">
        <v>163</v>
      </c>
      <c r="B89" s="3">
        <v>70590.965664000003</v>
      </c>
      <c r="D89" s="3">
        <f>AVERAGE(B87:B89)</f>
        <v>71194.845188000007</v>
      </c>
      <c r="E89" s="16">
        <v>122938.27809566667</v>
      </c>
      <c r="F89" s="3">
        <f>AVERAGE(D87:D89)</f>
        <v>71194.845188000007</v>
      </c>
      <c r="G89" s="17">
        <f t="shared" si="0"/>
        <v>265327.96847166668</v>
      </c>
    </row>
    <row r="90" spans="1:7" x14ac:dyDescent="0.25">
      <c r="A90" s="3" t="s">
        <v>162</v>
      </c>
      <c r="B90" s="3">
        <v>70909.461857999995</v>
      </c>
      <c r="G90" s="17">
        <f t="shared" si="0"/>
        <v>0</v>
      </c>
    </row>
    <row r="91" spans="1:7" x14ac:dyDescent="0.25">
      <c r="A91" s="3" t="s">
        <v>161</v>
      </c>
      <c r="B91" s="3">
        <v>71664.948940000002</v>
      </c>
      <c r="G91" s="17">
        <f t="shared" si="0"/>
        <v>0</v>
      </c>
    </row>
    <row r="92" spans="1:7" x14ac:dyDescent="0.25">
      <c r="A92" s="3" t="s">
        <v>160</v>
      </c>
      <c r="B92" s="3">
        <v>73005.184412999995</v>
      </c>
      <c r="D92" s="3">
        <f>AVERAGE(B90:B92)</f>
        <v>71859.865070333341</v>
      </c>
      <c r="E92" s="16">
        <v>125837.10201433334</v>
      </c>
      <c r="F92" s="3">
        <f>AVERAGE(D90:D92)</f>
        <v>71859.865070333341</v>
      </c>
      <c r="G92" s="17">
        <f t="shared" si="0"/>
        <v>269556.83215500001</v>
      </c>
    </row>
    <row r="93" spans="1:7" x14ac:dyDescent="0.25">
      <c r="A93" s="3" t="s">
        <v>159</v>
      </c>
      <c r="B93" s="3">
        <v>74634.987122000006</v>
      </c>
      <c r="G93" s="17">
        <f t="shared" si="0"/>
        <v>0</v>
      </c>
    </row>
    <row r="94" spans="1:7" x14ac:dyDescent="0.25">
      <c r="A94" s="3" t="s">
        <v>158</v>
      </c>
      <c r="B94" s="3">
        <v>73468.114398999998</v>
      </c>
      <c r="G94" s="17">
        <f t="shared" si="0"/>
        <v>0</v>
      </c>
    </row>
    <row r="95" spans="1:7" x14ac:dyDescent="0.25">
      <c r="A95" s="3" t="s">
        <v>157</v>
      </c>
      <c r="B95" s="3">
        <v>76896.195806000003</v>
      </c>
      <c r="D95" s="3">
        <f>AVERAGE(B93:B95)</f>
        <v>74999.765775666674</v>
      </c>
      <c r="E95" s="16">
        <v>130736.00270133333</v>
      </c>
      <c r="F95" s="3">
        <f>AVERAGE(D93:D95)</f>
        <v>74999.765775666674</v>
      </c>
      <c r="G95" s="17">
        <f t="shared" si="0"/>
        <v>280735.53425266669</v>
      </c>
    </row>
    <row r="96" spans="1:7" x14ac:dyDescent="0.25">
      <c r="A96" s="3" t="s">
        <v>156</v>
      </c>
      <c r="B96" s="3">
        <v>77683.516231000001</v>
      </c>
      <c r="G96" s="17">
        <f t="shared" si="0"/>
        <v>0</v>
      </c>
    </row>
    <row r="97" spans="1:7" x14ac:dyDescent="0.25">
      <c r="A97" s="3" t="s">
        <v>155</v>
      </c>
      <c r="B97" s="3">
        <v>78581.639779000005</v>
      </c>
      <c r="G97" s="17">
        <f t="shared" si="0"/>
        <v>0</v>
      </c>
    </row>
    <row r="98" spans="1:7" x14ac:dyDescent="0.25">
      <c r="A98" s="3" t="s">
        <v>154</v>
      </c>
      <c r="B98" s="3">
        <v>81713.061958000006</v>
      </c>
      <c r="D98" s="3">
        <f>AVERAGE(B96:B98)</f>
        <v>79326.072656000004</v>
      </c>
      <c r="E98" s="16">
        <v>137080.72436700002</v>
      </c>
      <c r="F98" s="3">
        <f>AVERAGE(D96:D98)</f>
        <v>79326.072656000004</v>
      </c>
      <c r="G98" s="17">
        <f t="shared" si="0"/>
        <v>295732.869679</v>
      </c>
    </row>
    <row r="99" spans="1:7" x14ac:dyDescent="0.25">
      <c r="A99" s="3" t="s">
        <v>153</v>
      </c>
      <c r="B99" s="3">
        <v>81632.734412000005</v>
      </c>
      <c r="G99" s="17">
        <f t="shared" si="0"/>
        <v>0</v>
      </c>
    </row>
    <row r="100" spans="1:7" x14ac:dyDescent="0.25">
      <c r="A100" s="3" t="s">
        <v>152</v>
      </c>
      <c r="B100" s="3">
        <v>82079.041438999993</v>
      </c>
      <c r="G100" s="17">
        <f t="shared" si="0"/>
        <v>0</v>
      </c>
    </row>
    <row r="101" spans="1:7" x14ac:dyDescent="0.25">
      <c r="A101" s="3" t="s">
        <v>151</v>
      </c>
      <c r="B101" s="3">
        <v>82806.081481999994</v>
      </c>
      <c r="D101" s="3">
        <f>AVERAGE(B99:B101)</f>
        <v>82172.619110999993</v>
      </c>
      <c r="E101" s="16">
        <v>143512.72411099999</v>
      </c>
      <c r="F101" s="3">
        <f>AVERAGE(D99:D101)</f>
        <v>82172.619110999993</v>
      </c>
      <c r="G101" s="17">
        <f t="shared" si="0"/>
        <v>307857.96233299997</v>
      </c>
    </row>
    <row r="102" spans="1:7" x14ac:dyDescent="0.25">
      <c r="A102" s="3" t="s">
        <v>150</v>
      </c>
      <c r="B102" s="3">
        <v>80278.524814000004</v>
      </c>
      <c r="G102" s="17">
        <f t="shared" si="0"/>
        <v>0</v>
      </c>
    </row>
    <row r="103" spans="1:7" x14ac:dyDescent="0.25">
      <c r="A103" s="3" t="s">
        <v>149</v>
      </c>
      <c r="B103" s="3">
        <v>83040.350806000002</v>
      </c>
      <c r="G103" s="17">
        <f t="shared" si="0"/>
        <v>0</v>
      </c>
    </row>
    <row r="104" spans="1:7" x14ac:dyDescent="0.25">
      <c r="A104" s="3" t="s">
        <v>148</v>
      </c>
      <c r="B104" s="3">
        <v>81794.401832000003</v>
      </c>
      <c r="D104" s="3">
        <f>AVERAGE(B102:B104)</f>
        <v>81704.425817333336</v>
      </c>
      <c r="E104" s="16">
        <v>144082.11753366666</v>
      </c>
      <c r="F104" s="3">
        <f>AVERAGE(D102:D104)</f>
        <v>81704.425817333336</v>
      </c>
      <c r="G104" s="17">
        <f t="shared" si="0"/>
        <v>307490.96916833334</v>
      </c>
    </row>
    <row r="105" spans="1:7" x14ac:dyDescent="0.25">
      <c r="A105" s="3" t="s">
        <v>147</v>
      </c>
      <c r="B105" s="3">
        <v>83131.527317</v>
      </c>
      <c r="G105" s="17">
        <f t="shared" si="0"/>
        <v>0</v>
      </c>
    </row>
    <row r="106" spans="1:7" x14ac:dyDescent="0.25">
      <c r="A106" s="3" t="s">
        <v>146</v>
      </c>
      <c r="B106" s="3">
        <v>85509.209581999996</v>
      </c>
      <c r="G106" s="17">
        <f t="shared" si="0"/>
        <v>0</v>
      </c>
    </row>
    <row r="107" spans="1:7" x14ac:dyDescent="0.25">
      <c r="A107" s="3" t="s">
        <v>145</v>
      </c>
      <c r="B107" s="3">
        <v>85281.551109000007</v>
      </c>
      <c r="D107" s="3">
        <f>AVERAGE(B105:B107)</f>
        <v>84640.76266933333</v>
      </c>
      <c r="E107" s="16">
        <v>149430.89560366666</v>
      </c>
      <c r="F107" s="3">
        <f>AVERAGE(D105:D107)</f>
        <v>84640.76266933333</v>
      </c>
      <c r="G107" s="17">
        <f t="shared" si="0"/>
        <v>318712.42094233329</v>
      </c>
    </row>
    <row r="108" spans="1:7" x14ac:dyDescent="0.25">
      <c r="A108" s="3" t="s">
        <v>144</v>
      </c>
      <c r="B108" s="3">
        <v>86488.083924000006</v>
      </c>
      <c r="G108" s="17">
        <f t="shared" si="0"/>
        <v>0</v>
      </c>
    </row>
    <row r="109" spans="1:7" x14ac:dyDescent="0.25">
      <c r="A109" s="3" t="s">
        <v>143</v>
      </c>
      <c r="B109" s="3">
        <v>88140.480607000005</v>
      </c>
      <c r="G109" s="17">
        <f t="shared" si="0"/>
        <v>0</v>
      </c>
    </row>
    <row r="110" spans="1:7" x14ac:dyDescent="0.25">
      <c r="A110" s="3" t="s">
        <v>142</v>
      </c>
      <c r="B110" s="3">
        <v>92197.845679999999</v>
      </c>
      <c r="D110" s="3">
        <f>AVERAGE(B108:B110)</f>
        <v>88942.136737000008</v>
      </c>
      <c r="E110" s="16">
        <v>141676.660772</v>
      </c>
      <c r="F110" s="3">
        <f>AVERAGE(D108:D110)</f>
        <v>88942.136737000008</v>
      </c>
      <c r="G110" s="17">
        <f t="shared" si="0"/>
        <v>319560.93424600002</v>
      </c>
    </row>
    <row r="111" spans="1:7" x14ac:dyDescent="0.25">
      <c r="A111" s="3" t="s">
        <v>141</v>
      </c>
      <c r="B111" s="3">
        <v>89600.72</v>
      </c>
      <c r="G111" s="17">
        <f t="shared" si="0"/>
        <v>0</v>
      </c>
    </row>
    <row r="112" spans="1:7" x14ac:dyDescent="0.25">
      <c r="A112" s="3" t="s">
        <v>140</v>
      </c>
      <c r="B112" s="3">
        <v>88812.85</v>
      </c>
      <c r="G112" s="17">
        <f t="shared" si="0"/>
        <v>0</v>
      </c>
    </row>
    <row r="113" spans="1:7" x14ac:dyDescent="0.25">
      <c r="A113" s="3" t="s">
        <v>139</v>
      </c>
      <c r="B113" s="3">
        <v>91989.52</v>
      </c>
      <c r="D113" s="3">
        <f>AVERAGE(B111:B113)</f>
        <v>90134.363333333342</v>
      </c>
      <c r="E113" s="16">
        <v>117851.60333333333</v>
      </c>
      <c r="F113" s="3">
        <f>AVERAGE(D111:D113)</f>
        <v>90134.363333333342</v>
      </c>
      <c r="G113" s="17">
        <f t="shared" si="0"/>
        <v>298120.33</v>
      </c>
    </row>
    <row r="114" spans="1:7" x14ac:dyDescent="0.25">
      <c r="A114" s="3" t="s">
        <v>138</v>
      </c>
      <c r="B114" s="3">
        <v>92045.75</v>
      </c>
      <c r="G114" s="17">
        <f t="shared" si="0"/>
        <v>0</v>
      </c>
    </row>
    <row r="115" spans="1:7" x14ac:dyDescent="0.25">
      <c r="A115" s="3" t="s">
        <v>137</v>
      </c>
      <c r="B115" s="3">
        <v>89105.35</v>
      </c>
      <c r="G115" s="17">
        <f t="shared" si="0"/>
        <v>0</v>
      </c>
    </row>
    <row r="116" spans="1:7" x14ac:dyDescent="0.25">
      <c r="A116" s="3" t="s">
        <v>136</v>
      </c>
      <c r="B116" s="3">
        <v>89681.46</v>
      </c>
      <c r="D116" s="3">
        <f>AVERAGE(B114:B116)</f>
        <v>90277.52</v>
      </c>
      <c r="E116" s="16">
        <v>119413.23</v>
      </c>
      <c r="F116" s="3">
        <f>AVERAGE(D114:D116)</f>
        <v>90277.52</v>
      </c>
      <c r="G116" s="17">
        <f t="shared" si="0"/>
        <v>299968.27</v>
      </c>
    </row>
    <row r="117" spans="1:7" x14ac:dyDescent="0.25">
      <c r="A117" s="3" t="s">
        <v>135</v>
      </c>
      <c r="B117" s="3">
        <v>92793.69</v>
      </c>
      <c r="G117" s="17">
        <f t="shared" si="0"/>
        <v>0</v>
      </c>
    </row>
    <row r="118" spans="1:7" x14ac:dyDescent="0.25">
      <c r="A118" s="3" t="s">
        <v>134</v>
      </c>
      <c r="B118" s="3">
        <v>96162.3</v>
      </c>
      <c r="G118" s="17">
        <f t="shared" si="0"/>
        <v>0</v>
      </c>
    </row>
    <row r="119" spans="1:7" x14ac:dyDescent="0.25">
      <c r="A119" s="3" t="s">
        <v>133</v>
      </c>
      <c r="B119" s="3">
        <v>94026.23</v>
      </c>
      <c r="D119" s="3">
        <f>AVERAGE(B117:B119)</f>
        <v>94327.406666666662</v>
      </c>
      <c r="E119" s="16">
        <v>122966.31333333334</v>
      </c>
      <c r="F119" s="3">
        <f>AVERAGE(D117:D119)</f>
        <v>94327.406666666662</v>
      </c>
      <c r="G119" s="17">
        <f t="shared" si="0"/>
        <v>311621.12666666665</v>
      </c>
    </row>
    <row r="120" spans="1:7" x14ac:dyDescent="0.25">
      <c r="A120" s="3" t="s">
        <v>132</v>
      </c>
      <c r="B120" s="3">
        <v>94200.5</v>
      </c>
      <c r="G120" s="17">
        <f t="shared" si="0"/>
        <v>0</v>
      </c>
    </row>
    <row r="121" spans="1:7" x14ac:dyDescent="0.25">
      <c r="A121" s="3" t="s">
        <v>131</v>
      </c>
      <c r="B121" s="3">
        <v>96384.78</v>
      </c>
      <c r="G121" s="17">
        <f t="shared" si="0"/>
        <v>0</v>
      </c>
    </row>
    <row r="122" spans="1:7" x14ac:dyDescent="0.25">
      <c r="A122" s="3" t="s">
        <v>130</v>
      </c>
      <c r="B122" s="3">
        <v>99448.45</v>
      </c>
      <c r="D122" s="3">
        <f>AVERAGE(B120:B122)</f>
        <v>96677.909999999989</v>
      </c>
      <c r="E122" s="16">
        <v>128547.73999999999</v>
      </c>
      <c r="F122" s="3">
        <f>AVERAGE(D120:D122)</f>
        <v>96677.909999999989</v>
      </c>
      <c r="G122" s="17">
        <f t="shared" si="0"/>
        <v>321903.55999999994</v>
      </c>
    </row>
    <row r="123" spans="1:7" x14ac:dyDescent="0.25">
      <c r="A123" s="3" t="s">
        <v>129</v>
      </c>
      <c r="B123" s="3">
        <v>99612.11</v>
      </c>
      <c r="G123" s="17">
        <f t="shared" si="0"/>
        <v>0</v>
      </c>
    </row>
    <row r="124" spans="1:7" x14ac:dyDescent="0.25">
      <c r="A124" s="3" t="s">
        <v>128</v>
      </c>
      <c r="B124" s="3">
        <v>101588.32</v>
      </c>
      <c r="G124" s="17">
        <f t="shared" si="0"/>
        <v>0</v>
      </c>
    </row>
    <row r="125" spans="1:7" x14ac:dyDescent="0.25">
      <c r="A125" s="3" t="s">
        <v>127</v>
      </c>
      <c r="B125" s="3">
        <v>102585.05</v>
      </c>
      <c r="D125" s="3">
        <f>AVERAGE(B123:B125)</f>
        <v>101261.82666666666</v>
      </c>
      <c r="E125" s="16">
        <v>135272.89666666664</v>
      </c>
      <c r="F125" s="3">
        <f>AVERAGE(D123:D125)</f>
        <v>101261.82666666666</v>
      </c>
      <c r="G125" s="17">
        <f t="shared" si="0"/>
        <v>337796.54999999993</v>
      </c>
    </row>
    <row r="126" spans="1:7" x14ac:dyDescent="0.25">
      <c r="A126" s="3" t="s">
        <v>126</v>
      </c>
      <c r="B126" s="3">
        <v>107457.79</v>
      </c>
      <c r="G126" s="17">
        <f t="shared" si="0"/>
        <v>0</v>
      </c>
    </row>
    <row r="127" spans="1:7" x14ac:dyDescent="0.25">
      <c r="A127" s="3" t="s">
        <v>125</v>
      </c>
      <c r="B127" s="3">
        <v>124958.35</v>
      </c>
      <c r="G127" s="17">
        <f t="shared" si="0"/>
        <v>0</v>
      </c>
    </row>
    <row r="128" spans="1:7" x14ac:dyDescent="0.25">
      <c r="A128" s="3" t="s">
        <v>124</v>
      </c>
      <c r="B128" s="3">
        <v>129673.39</v>
      </c>
      <c r="D128" s="3">
        <f>AVERAGE(B126:B128)</f>
        <v>120696.51000000001</v>
      </c>
      <c r="E128" s="16">
        <v>147012.51333333334</v>
      </c>
      <c r="F128" s="3">
        <f>AVERAGE(D126:D128)</f>
        <v>120696.51000000001</v>
      </c>
      <c r="G128" s="17">
        <f t="shared" si="0"/>
        <v>388405.53333333333</v>
      </c>
    </row>
    <row r="129" spans="1:7" x14ac:dyDescent="0.25">
      <c r="A129" s="3" t="s">
        <v>123</v>
      </c>
      <c r="B129" s="3">
        <v>135265.73000000001</v>
      </c>
      <c r="G129" s="17">
        <f t="shared" si="0"/>
        <v>0</v>
      </c>
    </row>
    <row r="130" spans="1:7" x14ac:dyDescent="0.25">
      <c r="A130" s="3" t="s">
        <v>122</v>
      </c>
      <c r="B130" s="3">
        <v>137479.51999999999</v>
      </c>
      <c r="G130" s="17">
        <f t="shared" si="0"/>
        <v>0</v>
      </c>
    </row>
    <row r="131" spans="1:7" x14ac:dyDescent="0.25">
      <c r="A131" s="3" t="s">
        <v>121</v>
      </c>
      <c r="B131" s="3">
        <v>138954.28</v>
      </c>
      <c r="D131" s="3">
        <f>AVERAGE(B129:B131)</f>
        <v>137233.17666666667</v>
      </c>
      <c r="E131" s="16">
        <v>157929.50333333333</v>
      </c>
      <c r="F131" s="3">
        <f>AVERAGE(D129:D131)</f>
        <v>137233.17666666667</v>
      </c>
      <c r="G131" s="17">
        <f t="shared" si="0"/>
        <v>432395.85666666669</v>
      </c>
    </row>
    <row r="132" spans="1:7" x14ac:dyDescent="0.25">
      <c r="A132" s="3" t="s">
        <v>120</v>
      </c>
      <c r="B132" s="3">
        <v>138433.18</v>
      </c>
      <c r="G132" s="17">
        <f t="shared" si="0"/>
        <v>0</v>
      </c>
    </row>
    <row r="133" spans="1:7" x14ac:dyDescent="0.25">
      <c r="A133" s="3" t="s">
        <v>119</v>
      </c>
      <c r="B133" s="3">
        <v>138671.79999999999</v>
      </c>
      <c r="G133" s="17">
        <f t="shared" si="0"/>
        <v>0</v>
      </c>
    </row>
    <row r="134" spans="1:7" x14ac:dyDescent="0.25">
      <c r="A134" s="3" t="s">
        <v>118</v>
      </c>
      <c r="B134" s="3">
        <v>143021.60659196999</v>
      </c>
      <c r="D134" s="3">
        <f>AVERAGE(B132:B134)</f>
        <v>140042.19553065664</v>
      </c>
      <c r="E134" s="16">
        <v>162860.79869787736</v>
      </c>
      <c r="F134" s="3">
        <f>AVERAGE(D132:D134)</f>
        <v>140042.19553065664</v>
      </c>
      <c r="G134" s="17">
        <f t="shared" si="0"/>
        <v>442945.18975919066</v>
      </c>
    </row>
    <row r="135" spans="1:7" x14ac:dyDescent="0.25">
      <c r="A135" s="3" t="s">
        <v>117</v>
      </c>
      <c r="B135" s="3">
        <v>149241.52606976</v>
      </c>
      <c r="G135" s="17">
        <f t="shared" si="0"/>
        <v>0</v>
      </c>
    </row>
    <row r="136" spans="1:7" x14ac:dyDescent="0.25">
      <c r="A136" s="3" t="s">
        <v>116</v>
      </c>
      <c r="B136" s="3">
        <v>149012.36164096999</v>
      </c>
      <c r="G136" s="17">
        <f t="shared" si="0"/>
        <v>0</v>
      </c>
    </row>
    <row r="137" spans="1:7" x14ac:dyDescent="0.25">
      <c r="A137" s="3" t="s">
        <v>115</v>
      </c>
      <c r="B137" s="3">
        <v>148649.38268216999</v>
      </c>
      <c r="D137" s="3">
        <f>AVERAGE(B135:B137)</f>
        <v>148967.75679763334</v>
      </c>
      <c r="E137" s="16">
        <v>164941.06338370766</v>
      </c>
      <c r="F137" s="3">
        <f>AVERAGE(D135:D137)</f>
        <v>148967.75679763334</v>
      </c>
      <c r="G137" s="17">
        <f t="shared" si="0"/>
        <v>462876.57697897439</v>
      </c>
    </row>
    <row r="138" spans="1:7" x14ac:dyDescent="0.25">
      <c r="A138" s="3" t="s">
        <v>114</v>
      </c>
      <c r="B138" s="3">
        <v>142628.38113386001</v>
      </c>
      <c r="G138" s="17">
        <f t="shared" si="0"/>
        <v>0</v>
      </c>
    </row>
    <row r="139" spans="1:7" x14ac:dyDescent="0.25">
      <c r="A139" s="3" t="s">
        <v>113</v>
      </c>
      <c r="B139" s="3">
        <v>140737.18592749999</v>
      </c>
      <c r="G139" s="17">
        <f t="shared" si="0"/>
        <v>0</v>
      </c>
    </row>
    <row r="140" spans="1:7" x14ac:dyDescent="0.25">
      <c r="A140" s="3" t="s">
        <v>112</v>
      </c>
      <c r="B140" s="3">
        <v>141006.97086875999</v>
      </c>
      <c r="D140" s="3">
        <f>AVERAGE(B138:B140)</f>
        <v>141457.51264337334</v>
      </c>
      <c r="E140" s="16">
        <v>159999.14131941169</v>
      </c>
      <c r="F140" s="3">
        <f>AVERAGE(D138:D140)</f>
        <v>141457.51264337334</v>
      </c>
      <c r="G140" s="17">
        <f t="shared" si="0"/>
        <v>442914.16660615837</v>
      </c>
    </row>
    <row r="141" spans="1:7" x14ac:dyDescent="0.25">
      <c r="A141" s="3" t="s">
        <v>111</v>
      </c>
      <c r="B141" s="3">
        <v>148387.92705226</v>
      </c>
      <c r="G141" s="17">
        <f t="shared" si="0"/>
        <v>0</v>
      </c>
    </row>
    <row r="142" spans="1:7" x14ac:dyDescent="0.25">
      <c r="A142" s="3" t="s">
        <v>110</v>
      </c>
      <c r="B142" s="3">
        <v>147950.07246937</v>
      </c>
      <c r="G142" s="17">
        <f t="shared" ref="G142:G182" si="1">D142+E142+F142</f>
        <v>0</v>
      </c>
    </row>
    <row r="143" spans="1:7" x14ac:dyDescent="0.25">
      <c r="A143" s="3" t="s">
        <v>109</v>
      </c>
      <c r="B143" s="3">
        <v>145417.35860077999</v>
      </c>
      <c r="D143" s="3">
        <f>AVERAGE(B141:B143)</f>
        <v>147251.78604080333</v>
      </c>
      <c r="E143" s="16">
        <v>162510.81914314133</v>
      </c>
      <c r="F143" s="3">
        <f>AVERAGE(D141:D143)</f>
        <v>147251.78604080333</v>
      </c>
      <c r="G143" s="17">
        <f t="shared" si="1"/>
        <v>457014.39122474799</v>
      </c>
    </row>
    <row r="144" spans="1:7" x14ac:dyDescent="0.25">
      <c r="A144" s="3" t="s">
        <v>108</v>
      </c>
      <c r="B144" s="3">
        <v>143235.22446316999</v>
      </c>
      <c r="G144" s="17">
        <f t="shared" si="1"/>
        <v>0</v>
      </c>
    </row>
    <row r="145" spans="1:7" x14ac:dyDescent="0.25">
      <c r="A145" s="3" t="s">
        <v>107</v>
      </c>
      <c r="B145" s="3">
        <v>142187.7756664</v>
      </c>
      <c r="G145" s="17">
        <f t="shared" si="1"/>
        <v>0</v>
      </c>
    </row>
    <row r="146" spans="1:7" x14ac:dyDescent="0.25">
      <c r="A146" s="3" t="s">
        <v>106</v>
      </c>
      <c r="B146" s="3">
        <v>144621.11768920001</v>
      </c>
      <c r="D146" s="3">
        <f>AVERAGE(B144:B146)</f>
        <v>143348.03927292334</v>
      </c>
      <c r="E146" s="16">
        <v>163260.57811922667</v>
      </c>
      <c r="F146" s="3">
        <f>AVERAGE(D144:D146)</f>
        <v>143348.03927292334</v>
      </c>
      <c r="G146" s="17">
        <f t="shared" si="1"/>
        <v>449956.65666507336</v>
      </c>
    </row>
    <row r="147" spans="1:7" x14ac:dyDescent="0.25">
      <c r="A147" s="3" t="s">
        <v>105</v>
      </c>
      <c r="B147" s="3">
        <v>142546.22447096999</v>
      </c>
      <c r="G147" s="17">
        <f t="shared" si="1"/>
        <v>0</v>
      </c>
    </row>
    <row r="148" spans="1:7" x14ac:dyDescent="0.25">
      <c r="A148" s="3" t="s">
        <v>104</v>
      </c>
      <c r="B148" s="3">
        <v>139781.38857512001</v>
      </c>
      <c r="G148" s="17">
        <f t="shared" si="1"/>
        <v>0</v>
      </c>
    </row>
    <row r="149" spans="1:7" x14ac:dyDescent="0.25">
      <c r="A149" s="3" t="s">
        <v>103</v>
      </c>
      <c r="B149" s="3">
        <v>138497.60234032001</v>
      </c>
      <c r="D149" s="3">
        <f>AVERAGE(B147:B149)</f>
        <v>140275.07179546999</v>
      </c>
      <c r="E149" s="16">
        <v>161032.86699085167</v>
      </c>
      <c r="F149" s="3">
        <f>AVERAGE(D147:D149)</f>
        <v>140275.07179546999</v>
      </c>
      <c r="G149" s="17">
        <f t="shared" si="1"/>
        <v>441583.01058179163</v>
      </c>
    </row>
    <row r="150" spans="1:7" x14ac:dyDescent="0.25">
      <c r="A150" s="3" t="s">
        <v>102</v>
      </c>
      <c r="B150" s="3">
        <v>135314.81292497</v>
      </c>
      <c r="G150" s="17">
        <f t="shared" si="1"/>
        <v>0</v>
      </c>
    </row>
    <row r="151" spans="1:7" x14ac:dyDescent="0.25">
      <c r="A151" s="3" t="s">
        <v>101</v>
      </c>
      <c r="B151" s="3">
        <v>134973.58047615</v>
      </c>
      <c r="G151" s="17">
        <f t="shared" si="1"/>
        <v>0</v>
      </c>
    </row>
    <row r="152" spans="1:7" x14ac:dyDescent="0.25">
      <c r="A152" s="3" t="s">
        <v>100</v>
      </c>
      <c r="B152" s="3">
        <v>134998.73495257</v>
      </c>
      <c r="D152" s="3">
        <f>AVERAGE(B150:B152)</f>
        <v>135095.70945122998</v>
      </c>
      <c r="E152" s="16">
        <v>158639.29208581735</v>
      </c>
      <c r="F152" s="3">
        <f>AVERAGE(D150:D152)</f>
        <v>135095.70945122998</v>
      </c>
      <c r="G152" s="17">
        <f t="shared" si="1"/>
        <v>428830.71098827734</v>
      </c>
    </row>
    <row r="153" spans="1:7" x14ac:dyDescent="0.25">
      <c r="A153" s="3" t="s">
        <v>99</v>
      </c>
      <c r="B153" s="3">
        <v>137264.09513956</v>
      </c>
      <c r="G153" s="17">
        <f t="shared" si="1"/>
        <v>0</v>
      </c>
    </row>
    <row r="154" spans="1:7" x14ac:dyDescent="0.25">
      <c r="A154" s="3" t="s">
        <v>98</v>
      </c>
      <c r="B154" s="3">
        <v>137565.14003052001</v>
      </c>
      <c r="G154" s="17">
        <f t="shared" si="1"/>
        <v>0</v>
      </c>
    </row>
    <row r="155" spans="1:7" x14ac:dyDescent="0.25">
      <c r="A155" s="3" t="s">
        <v>97</v>
      </c>
      <c r="B155" s="3">
        <v>140115.27290934999</v>
      </c>
      <c r="D155" s="3">
        <f>AVERAGE(B153:B155)</f>
        <v>138314.83602647667</v>
      </c>
      <c r="E155" s="16">
        <v>165519.34432988099</v>
      </c>
      <c r="F155" s="3">
        <f>AVERAGE(D153:D155)</f>
        <v>138314.83602647667</v>
      </c>
      <c r="G155" s="17">
        <f t="shared" si="1"/>
        <v>442149.01638283429</v>
      </c>
    </row>
    <row r="156" spans="1:7" x14ac:dyDescent="0.25">
      <c r="A156" s="3" t="s">
        <v>96</v>
      </c>
      <c r="B156" s="3">
        <v>139129.32685718001</v>
      </c>
      <c r="G156" s="17">
        <f t="shared" si="1"/>
        <v>0</v>
      </c>
    </row>
    <row r="157" spans="1:7" x14ac:dyDescent="0.25">
      <c r="A157" s="3" t="s">
        <v>95</v>
      </c>
      <c r="B157" s="3">
        <v>136048.26985858</v>
      </c>
      <c r="G157" s="17">
        <f t="shared" si="1"/>
        <v>0</v>
      </c>
    </row>
    <row r="158" spans="1:7" x14ac:dyDescent="0.25">
      <c r="A158" s="3" t="s">
        <v>94</v>
      </c>
      <c r="B158" s="3">
        <v>136968.02550454001</v>
      </c>
      <c r="D158" s="3">
        <f>AVERAGE(B156:B158)</f>
        <v>137381.87407343334</v>
      </c>
      <c r="E158" s="16">
        <v>169102.11879523835</v>
      </c>
      <c r="F158" s="3">
        <f>AVERAGE(D156:D158)</f>
        <v>137381.87407343334</v>
      </c>
      <c r="G158" s="17">
        <f t="shared" si="1"/>
        <v>443865.866942105</v>
      </c>
    </row>
    <row r="159" spans="1:7" x14ac:dyDescent="0.25">
      <c r="A159" s="3" t="s">
        <v>93</v>
      </c>
      <c r="B159" s="3">
        <v>140053.68531375</v>
      </c>
      <c r="G159" s="17">
        <f t="shared" si="1"/>
        <v>0</v>
      </c>
    </row>
    <row r="160" spans="1:7" x14ac:dyDescent="0.25">
      <c r="A160" s="3" t="s">
        <v>92</v>
      </c>
      <c r="B160" s="3">
        <v>138403.92643106999</v>
      </c>
      <c r="G160" s="17">
        <f t="shared" si="1"/>
        <v>0</v>
      </c>
    </row>
    <row r="161" spans="1:7" x14ac:dyDescent="0.25">
      <c r="A161" s="3" t="s">
        <v>91</v>
      </c>
      <c r="B161" s="3">
        <v>132892.38164760001</v>
      </c>
      <c r="D161" s="3">
        <f>AVERAGE(B159:B161)</f>
        <v>137116.66446413999</v>
      </c>
      <c r="E161" s="16">
        <v>170489.96044033265</v>
      </c>
      <c r="F161" s="3">
        <f>AVERAGE(D159:D161)</f>
        <v>137116.66446413999</v>
      </c>
      <c r="G161" s="17">
        <f t="shared" si="1"/>
        <v>444723.28936861258</v>
      </c>
    </row>
    <row r="162" spans="1:7" x14ac:dyDescent="0.25">
      <c r="A162" s="3" t="s">
        <v>90</v>
      </c>
      <c r="B162" s="3">
        <v>130158.01490409</v>
      </c>
      <c r="G162" s="17">
        <f t="shared" si="1"/>
        <v>0</v>
      </c>
    </row>
    <row r="163" spans="1:7" x14ac:dyDescent="0.25">
      <c r="A163" s="3" t="s">
        <v>89</v>
      </c>
      <c r="B163" s="3">
        <v>129296.85568258</v>
      </c>
      <c r="G163" s="17">
        <f t="shared" si="1"/>
        <v>0</v>
      </c>
    </row>
    <row r="164" spans="1:7" x14ac:dyDescent="0.25">
      <c r="A164" s="3" t="s">
        <v>88</v>
      </c>
      <c r="B164" s="3">
        <v>128561.01439051</v>
      </c>
      <c r="D164" s="3">
        <f>AVERAGE(B162:B164)</f>
        <v>129338.62832572666</v>
      </c>
      <c r="E164" s="16">
        <v>171030.49879900168</v>
      </c>
      <c r="F164" s="3">
        <f>AVERAGE(D162:D164)</f>
        <v>129338.62832572666</v>
      </c>
      <c r="G164" s="17">
        <f t="shared" si="1"/>
        <v>429707.75545045501</v>
      </c>
    </row>
    <row r="165" spans="1:7" x14ac:dyDescent="0.25">
      <c r="A165" s="3" t="s">
        <v>87</v>
      </c>
      <c r="B165" s="3">
        <v>129777.31025789</v>
      </c>
      <c r="G165" s="17">
        <f t="shared" si="1"/>
        <v>0</v>
      </c>
    </row>
    <row r="166" spans="1:7" x14ac:dyDescent="0.25">
      <c r="A166" s="3" t="s">
        <v>86</v>
      </c>
      <c r="B166" s="3">
        <v>130399.61388444</v>
      </c>
      <c r="G166" s="17">
        <f t="shared" si="1"/>
        <v>0</v>
      </c>
    </row>
    <row r="167" spans="1:7" x14ac:dyDescent="0.25">
      <c r="A167" s="3" t="s">
        <v>85</v>
      </c>
      <c r="B167" s="3">
        <v>130338.33439467</v>
      </c>
      <c r="D167" s="3">
        <f>AVERAGE(B165:B167)</f>
        <v>130171.75284566668</v>
      </c>
      <c r="E167" s="16">
        <v>174614.08116595735</v>
      </c>
      <c r="F167" s="3">
        <f>AVERAGE(D165:D167)</f>
        <v>130171.75284566668</v>
      </c>
      <c r="G167" s="17">
        <f t="shared" si="1"/>
        <v>434957.58685729071</v>
      </c>
    </row>
    <row r="168" spans="1:7" x14ac:dyDescent="0.25">
      <c r="A168" s="3" t="s">
        <v>84</v>
      </c>
      <c r="B168" s="3">
        <v>130072.19983483</v>
      </c>
      <c r="G168" s="17">
        <f t="shared" si="1"/>
        <v>0</v>
      </c>
    </row>
    <row r="169" spans="1:7" x14ac:dyDescent="0.25">
      <c r="A169" s="3" t="s">
        <v>83</v>
      </c>
      <c r="B169" s="3">
        <v>131524.20768630999</v>
      </c>
      <c r="G169" s="17">
        <f t="shared" si="1"/>
        <v>0</v>
      </c>
    </row>
    <row r="170" spans="1:7" x14ac:dyDescent="0.25">
      <c r="A170" s="3" t="s">
        <v>82</v>
      </c>
      <c r="B170" s="3">
        <v>137086.70213816999</v>
      </c>
      <c r="D170" s="3">
        <f>AVERAGE(B168:B170)</f>
        <v>132894.36988643665</v>
      </c>
      <c r="E170" s="16">
        <v>176646.483916283</v>
      </c>
      <c r="F170" s="3">
        <f>AVERAGE(D168:D170)</f>
        <v>132894.36988643665</v>
      </c>
      <c r="G170" s="17">
        <f t="shared" si="1"/>
        <v>442435.22368915624</v>
      </c>
    </row>
    <row r="171" spans="1:7" x14ac:dyDescent="0.25">
      <c r="A171" s="3" t="s">
        <v>81</v>
      </c>
      <c r="B171" s="3">
        <v>135078.32025141001</v>
      </c>
      <c r="G171" s="17">
        <f t="shared" si="1"/>
        <v>0</v>
      </c>
    </row>
    <row r="172" spans="1:7" x14ac:dyDescent="0.25">
      <c r="A172" s="3" t="s">
        <v>80</v>
      </c>
      <c r="B172" s="3">
        <v>133996.39938320999</v>
      </c>
      <c r="G172" s="17">
        <f t="shared" si="1"/>
        <v>0</v>
      </c>
    </row>
    <row r="173" spans="1:7" x14ac:dyDescent="0.25">
      <c r="A173" s="3" t="s">
        <v>79</v>
      </c>
      <c r="B173" s="3">
        <v>135317.29144003999</v>
      </c>
      <c r="D173" s="3">
        <f>AVERAGE(B171:B173)</f>
        <v>134797.33702488666</v>
      </c>
      <c r="E173" s="16">
        <v>179744.73567460233</v>
      </c>
      <c r="F173" s="3">
        <f>AVERAGE(D171:D173)</f>
        <v>134797.33702488666</v>
      </c>
      <c r="G173" s="17">
        <f t="shared" si="1"/>
        <v>449339.40972437558</v>
      </c>
    </row>
    <row r="174" spans="1:7" x14ac:dyDescent="0.25">
      <c r="A174" s="3" t="s">
        <v>78</v>
      </c>
      <c r="B174" s="3">
        <v>133831.26560925</v>
      </c>
      <c r="G174" s="17">
        <f t="shared" si="1"/>
        <v>0</v>
      </c>
    </row>
    <row r="175" spans="1:7" x14ac:dyDescent="0.25">
      <c r="A175" s="3" t="s">
        <v>77</v>
      </c>
      <c r="B175" s="3">
        <v>139303.81883807</v>
      </c>
      <c r="G175" s="17">
        <f t="shared" si="1"/>
        <v>0</v>
      </c>
    </row>
    <row r="176" spans="1:7" x14ac:dyDescent="0.25">
      <c r="A176" s="3" t="s">
        <v>76</v>
      </c>
      <c r="B176" s="3">
        <v>143728.60649084</v>
      </c>
      <c r="D176" s="3">
        <f>AVERAGE(B174:B176)</f>
        <v>138954.56364605331</v>
      </c>
      <c r="E176" s="16">
        <v>182409.76895623267</v>
      </c>
      <c r="F176" s="3">
        <f>AVERAGE(D174:D176)</f>
        <v>138954.56364605331</v>
      </c>
      <c r="G176" s="17">
        <f t="shared" si="1"/>
        <v>460318.89624833933</v>
      </c>
    </row>
    <row r="177" spans="1:7" x14ac:dyDescent="0.25">
      <c r="A177" s="3" t="s">
        <v>75</v>
      </c>
      <c r="B177" s="3">
        <v>147567.77799929999</v>
      </c>
      <c r="G177" s="17">
        <f t="shared" si="1"/>
        <v>0</v>
      </c>
    </row>
    <row r="178" spans="1:7" x14ac:dyDescent="0.25">
      <c r="A178" s="3" t="s">
        <v>74</v>
      </c>
      <c r="B178" s="3">
        <v>151462.18257144</v>
      </c>
      <c r="G178" s="17">
        <f t="shared" si="1"/>
        <v>0</v>
      </c>
    </row>
    <row r="179" spans="1:7" x14ac:dyDescent="0.25">
      <c r="A179" s="3" t="s">
        <v>73</v>
      </c>
      <c r="B179" s="3">
        <v>154260.27912431999</v>
      </c>
      <c r="D179" s="3">
        <f>AVERAGE(B177:B179)</f>
        <v>151096.74656501997</v>
      </c>
      <c r="E179" s="16">
        <v>191780.07782889297</v>
      </c>
      <c r="F179" s="3">
        <f>AVERAGE(D177:D179)</f>
        <v>151096.74656501997</v>
      </c>
      <c r="G179" s="17">
        <f t="shared" si="1"/>
        <v>493973.57095893286</v>
      </c>
    </row>
    <row r="180" spans="1:7" x14ac:dyDescent="0.25">
      <c r="A180" s="3" t="s">
        <v>72</v>
      </c>
      <c r="B180" s="3">
        <v>154465.22140400001</v>
      </c>
      <c r="G180" s="17">
        <f t="shared" si="1"/>
        <v>0</v>
      </c>
    </row>
    <row r="181" spans="1:7" x14ac:dyDescent="0.25">
      <c r="A181" s="3" t="s">
        <v>71</v>
      </c>
      <c r="B181" s="3">
        <v>154136.8663808</v>
      </c>
      <c r="G181" s="17">
        <f t="shared" si="1"/>
        <v>0</v>
      </c>
    </row>
    <row r="182" spans="1:7" x14ac:dyDescent="0.25">
      <c r="A182" s="3" t="s">
        <v>70</v>
      </c>
      <c r="B182" s="3">
        <v>157942.73592923</v>
      </c>
      <c r="D182" s="3">
        <f>AVERAGE(B180:B182)</f>
        <v>155514.94123800998</v>
      </c>
      <c r="E182" s="16">
        <v>197779.34413753601</v>
      </c>
      <c r="F182" s="3">
        <f>AVERAGE(D180:D182)</f>
        <v>155514.94123800998</v>
      </c>
      <c r="G182" s="17">
        <f t="shared" si="1"/>
        <v>508809.22661355592</v>
      </c>
    </row>
    <row r="183" spans="1:7" x14ac:dyDescent="0.25">
      <c r="G183" s="17"/>
    </row>
  </sheetData>
  <sheetProtection formatCells="0" formatColumns="0" formatRows="0" insertColumns="0" insertRows="0" insertHyperlinks="0" deleteColumns="0" deleteRows="0" sort="0" autoFilter="0" pivotTables="0"/>
  <hyperlinks>
    <hyperlink ref="K2" r:id="rId1" xr:uid="{3C498DC1-4EB7-42A8-A457-DA69188321D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6DAB6-5DB8-4D1F-A236-9251D8BCD1A3}">
  <dimension ref="A1:J182"/>
  <sheetViews>
    <sheetView workbookViewId="0">
      <selection activeCell="B2" sqref="B2"/>
    </sheetView>
  </sheetViews>
  <sheetFormatPr baseColWidth="10" defaultColWidth="9.140625" defaultRowHeight="15" x14ac:dyDescent="0.25"/>
  <cols>
    <col min="1" max="16384" width="9.140625" style="3"/>
  </cols>
  <sheetData>
    <row r="1" spans="1:10" x14ac:dyDescent="0.25">
      <c r="B1" s="3" t="s">
        <v>266</v>
      </c>
    </row>
    <row r="2" spans="1:10" x14ac:dyDescent="0.25">
      <c r="B2" s="3" t="s">
        <v>265</v>
      </c>
      <c r="J2" s="18" t="s">
        <v>264</v>
      </c>
    </row>
    <row r="3" spans="1:10" x14ac:dyDescent="0.25">
      <c r="A3" s="3" t="s">
        <v>249</v>
      </c>
      <c r="B3" s="3">
        <v>31527.002662999999</v>
      </c>
    </row>
    <row r="4" spans="1:10" x14ac:dyDescent="0.25">
      <c r="A4" s="3" t="s">
        <v>248</v>
      </c>
      <c r="B4" s="3">
        <v>32486.307427</v>
      </c>
    </row>
    <row r="5" spans="1:10" x14ac:dyDescent="0.25">
      <c r="A5" s="3" t="s">
        <v>247</v>
      </c>
      <c r="B5" s="3">
        <v>33564.305682999999</v>
      </c>
    </row>
    <row r="6" spans="1:10" x14ac:dyDescent="0.25">
      <c r="A6" s="3" t="s">
        <v>246</v>
      </c>
      <c r="B6" s="3">
        <v>33750.847377999999</v>
      </c>
    </row>
    <row r="7" spans="1:10" x14ac:dyDescent="0.25">
      <c r="A7" s="3" t="s">
        <v>245</v>
      </c>
      <c r="B7" s="3">
        <v>34201.728969999996</v>
      </c>
    </row>
    <row r="8" spans="1:10" x14ac:dyDescent="0.25">
      <c r="A8" s="3" t="s">
        <v>244</v>
      </c>
      <c r="B8" s="3">
        <v>34259.155919999997</v>
      </c>
    </row>
    <row r="9" spans="1:10" x14ac:dyDescent="0.25">
      <c r="A9" s="3" t="s">
        <v>243</v>
      </c>
      <c r="B9" s="3">
        <v>35936.504046000002</v>
      </c>
    </row>
    <row r="10" spans="1:10" x14ac:dyDescent="0.25">
      <c r="A10" s="3" t="s">
        <v>242</v>
      </c>
      <c r="B10" s="3">
        <v>37502.143156999999</v>
      </c>
    </row>
    <row r="11" spans="1:10" x14ac:dyDescent="0.25">
      <c r="A11" s="3" t="s">
        <v>241</v>
      </c>
      <c r="B11" s="3">
        <v>38122.334022000003</v>
      </c>
    </row>
    <row r="12" spans="1:10" x14ac:dyDescent="0.25">
      <c r="A12" s="3" t="s">
        <v>240</v>
      </c>
      <c r="B12" s="3">
        <v>38270.338924000003</v>
      </c>
    </row>
    <row r="13" spans="1:10" x14ac:dyDescent="0.25">
      <c r="A13" s="3" t="s">
        <v>239</v>
      </c>
      <c r="B13" s="3">
        <v>39670.938904000002</v>
      </c>
    </row>
    <row r="14" spans="1:10" x14ac:dyDescent="0.25">
      <c r="A14" s="3" t="s">
        <v>238</v>
      </c>
      <c r="B14" s="3">
        <v>41333.78</v>
      </c>
    </row>
    <row r="15" spans="1:10" x14ac:dyDescent="0.25">
      <c r="A15" s="3" t="s">
        <v>237</v>
      </c>
      <c r="B15" s="3">
        <v>42241.96</v>
      </c>
    </row>
    <row r="16" spans="1:10" x14ac:dyDescent="0.25">
      <c r="A16" s="3" t="s">
        <v>236</v>
      </c>
      <c r="B16" s="3">
        <v>42683.839999999997</v>
      </c>
    </row>
    <row r="17" spans="1:2" x14ac:dyDescent="0.25">
      <c r="A17" s="3" t="s">
        <v>235</v>
      </c>
      <c r="B17" s="3">
        <v>43610.92</v>
      </c>
    </row>
    <row r="18" spans="1:2" x14ac:dyDescent="0.25">
      <c r="A18" s="3" t="s">
        <v>234</v>
      </c>
      <c r="B18" s="3">
        <v>41738.239999999998</v>
      </c>
    </row>
    <row r="19" spans="1:2" x14ac:dyDescent="0.25">
      <c r="A19" s="3" t="s">
        <v>233</v>
      </c>
      <c r="B19" s="3">
        <v>42592.35</v>
      </c>
    </row>
    <row r="20" spans="1:2" x14ac:dyDescent="0.25">
      <c r="A20" s="3" t="s">
        <v>232</v>
      </c>
      <c r="B20" s="3">
        <v>42270.1</v>
      </c>
    </row>
    <row r="21" spans="1:2" x14ac:dyDescent="0.25">
      <c r="A21" s="3" t="s">
        <v>231</v>
      </c>
      <c r="B21" s="3">
        <v>43783.26</v>
      </c>
    </row>
    <row r="22" spans="1:2" x14ac:dyDescent="0.25">
      <c r="A22" s="3" t="s">
        <v>230</v>
      </c>
      <c r="B22" s="3">
        <v>42935.7</v>
      </c>
    </row>
    <row r="23" spans="1:2" x14ac:dyDescent="0.25">
      <c r="A23" s="3" t="s">
        <v>229</v>
      </c>
      <c r="B23" s="3">
        <v>45630.34</v>
      </c>
    </row>
    <row r="24" spans="1:2" x14ac:dyDescent="0.25">
      <c r="A24" s="3" t="s">
        <v>228</v>
      </c>
      <c r="B24" s="3">
        <v>45121.3</v>
      </c>
    </row>
    <row r="25" spans="1:2" x14ac:dyDescent="0.25">
      <c r="A25" s="3" t="s">
        <v>227</v>
      </c>
      <c r="B25" s="3">
        <v>46669.71</v>
      </c>
    </row>
    <row r="26" spans="1:2" x14ac:dyDescent="0.25">
      <c r="A26" s="3" t="s">
        <v>226</v>
      </c>
      <c r="B26" s="3">
        <v>48959.57</v>
      </c>
    </row>
    <row r="27" spans="1:2" x14ac:dyDescent="0.25">
      <c r="A27" s="3" t="s">
        <v>225</v>
      </c>
      <c r="B27" s="3">
        <v>49728.46</v>
      </c>
    </row>
    <row r="28" spans="1:2" x14ac:dyDescent="0.25">
      <c r="A28" s="3" t="s">
        <v>224</v>
      </c>
      <c r="B28" s="3">
        <v>52146.81</v>
      </c>
    </row>
    <row r="29" spans="1:2" x14ac:dyDescent="0.25">
      <c r="A29" s="3" t="s">
        <v>223</v>
      </c>
      <c r="B29" s="3">
        <v>53797.33</v>
      </c>
    </row>
    <row r="30" spans="1:2" x14ac:dyDescent="0.25">
      <c r="A30" s="3" t="s">
        <v>222</v>
      </c>
      <c r="B30" s="3">
        <v>54766.31</v>
      </c>
    </row>
    <row r="31" spans="1:2" x14ac:dyDescent="0.25">
      <c r="A31" s="3" t="s">
        <v>221</v>
      </c>
      <c r="B31" s="3">
        <v>56423.67</v>
      </c>
    </row>
    <row r="32" spans="1:2" x14ac:dyDescent="0.25">
      <c r="A32" s="3" t="s">
        <v>220</v>
      </c>
      <c r="B32" s="3">
        <v>55177.440000000002</v>
      </c>
    </row>
    <row r="33" spans="1:2" x14ac:dyDescent="0.25">
      <c r="A33" s="3" t="s">
        <v>219</v>
      </c>
      <c r="B33" s="3">
        <v>54762.54</v>
      </c>
    </row>
    <row r="34" spans="1:2" x14ac:dyDescent="0.25">
      <c r="A34" s="3" t="s">
        <v>218</v>
      </c>
      <c r="B34" s="3">
        <v>54707.09</v>
      </c>
    </row>
    <row r="35" spans="1:2" x14ac:dyDescent="0.25">
      <c r="A35" s="3" t="s">
        <v>217</v>
      </c>
      <c r="B35" s="3">
        <v>56955.31</v>
      </c>
    </row>
    <row r="36" spans="1:2" x14ac:dyDescent="0.25">
      <c r="A36" s="3" t="s">
        <v>216</v>
      </c>
      <c r="B36" s="3">
        <v>58880.05</v>
      </c>
    </row>
    <row r="37" spans="1:2" x14ac:dyDescent="0.25">
      <c r="A37" s="3" t="s">
        <v>215</v>
      </c>
      <c r="B37" s="3">
        <v>60578.86</v>
      </c>
    </row>
    <row r="38" spans="1:2" x14ac:dyDescent="0.25">
      <c r="A38" s="3" t="s">
        <v>214</v>
      </c>
      <c r="B38" s="3">
        <v>62238</v>
      </c>
    </row>
    <row r="39" spans="1:2" x14ac:dyDescent="0.25">
      <c r="A39" s="3" t="s">
        <v>213</v>
      </c>
      <c r="B39" s="3">
        <v>63811.98</v>
      </c>
    </row>
    <row r="40" spans="1:2" x14ac:dyDescent="0.25">
      <c r="A40" s="3" t="s">
        <v>212</v>
      </c>
      <c r="B40" s="3">
        <v>65233.279999999999</v>
      </c>
    </row>
    <row r="41" spans="1:2" x14ac:dyDescent="0.25">
      <c r="A41" s="3" t="s">
        <v>211</v>
      </c>
      <c r="B41" s="3">
        <v>66899.289999999994</v>
      </c>
    </row>
    <row r="42" spans="1:2" x14ac:dyDescent="0.25">
      <c r="A42" s="3" t="s">
        <v>210</v>
      </c>
      <c r="B42" s="3">
        <v>66781.38</v>
      </c>
    </row>
    <row r="43" spans="1:2" x14ac:dyDescent="0.25">
      <c r="A43" s="3" t="s">
        <v>209</v>
      </c>
      <c r="B43" s="3">
        <v>68678.69</v>
      </c>
    </row>
    <row r="44" spans="1:2" x14ac:dyDescent="0.25">
      <c r="A44" s="3" t="s">
        <v>208</v>
      </c>
      <c r="B44" s="3">
        <v>68257.899999999994</v>
      </c>
    </row>
    <row r="45" spans="1:2" x14ac:dyDescent="0.25">
      <c r="A45" s="3" t="s">
        <v>207</v>
      </c>
      <c r="B45" s="3">
        <v>69165.36</v>
      </c>
    </row>
    <row r="46" spans="1:2" x14ac:dyDescent="0.25">
      <c r="A46" s="3" t="s">
        <v>206</v>
      </c>
      <c r="B46" s="3">
        <v>69156</v>
      </c>
    </row>
    <row r="47" spans="1:2" x14ac:dyDescent="0.25">
      <c r="A47" s="3" t="s">
        <v>205</v>
      </c>
      <c r="B47" s="3">
        <v>66710.399999999994</v>
      </c>
    </row>
    <row r="48" spans="1:2" x14ac:dyDescent="0.25">
      <c r="A48" s="3" t="s">
        <v>204</v>
      </c>
      <c r="B48" s="3">
        <v>67602.17</v>
      </c>
    </row>
    <row r="49" spans="1:2" x14ac:dyDescent="0.25">
      <c r="A49" s="3" t="s">
        <v>203</v>
      </c>
      <c r="B49" s="3">
        <v>70146.39</v>
      </c>
    </row>
    <row r="50" spans="1:2" x14ac:dyDescent="0.25">
      <c r="A50" s="3" t="s">
        <v>202</v>
      </c>
      <c r="B50" s="3">
        <v>71931.62</v>
      </c>
    </row>
    <row r="51" spans="1:2" x14ac:dyDescent="0.25">
      <c r="A51" s="3" t="s">
        <v>201</v>
      </c>
      <c r="B51" s="3">
        <v>72460.570000000007</v>
      </c>
    </row>
    <row r="52" spans="1:2" x14ac:dyDescent="0.25">
      <c r="A52" s="3" t="s">
        <v>200</v>
      </c>
      <c r="B52" s="3">
        <v>72721.16</v>
      </c>
    </row>
    <row r="53" spans="1:2" x14ac:dyDescent="0.25">
      <c r="A53" s="3" t="s">
        <v>199</v>
      </c>
      <c r="B53" s="3">
        <v>71995.95</v>
      </c>
    </row>
    <row r="54" spans="1:2" x14ac:dyDescent="0.25">
      <c r="A54" s="3" t="s">
        <v>198</v>
      </c>
      <c r="B54" s="3">
        <v>72117.7</v>
      </c>
    </row>
    <row r="55" spans="1:2" x14ac:dyDescent="0.25">
      <c r="A55" s="3" t="s">
        <v>197</v>
      </c>
      <c r="B55" s="3">
        <v>73737.03</v>
      </c>
    </row>
    <row r="56" spans="1:2" x14ac:dyDescent="0.25">
      <c r="A56" s="3" t="s">
        <v>196</v>
      </c>
      <c r="B56" s="3">
        <v>73969.259999999995</v>
      </c>
    </row>
    <row r="57" spans="1:2" x14ac:dyDescent="0.25">
      <c r="A57" s="3" t="s">
        <v>195</v>
      </c>
      <c r="B57" s="3">
        <v>75759.81</v>
      </c>
    </row>
    <row r="58" spans="1:2" x14ac:dyDescent="0.25">
      <c r="A58" s="3" t="s">
        <v>194</v>
      </c>
      <c r="B58" s="3">
        <v>76267.649999999994</v>
      </c>
    </row>
    <row r="59" spans="1:2" x14ac:dyDescent="0.25">
      <c r="A59" s="3" t="s">
        <v>193</v>
      </c>
      <c r="B59" s="3">
        <v>75951.399999999994</v>
      </c>
    </row>
    <row r="60" spans="1:2" x14ac:dyDescent="0.25">
      <c r="A60" s="3" t="s">
        <v>192</v>
      </c>
      <c r="B60" s="3">
        <v>77312.13</v>
      </c>
    </row>
    <row r="61" spans="1:2" x14ac:dyDescent="0.25">
      <c r="A61" s="3" t="s">
        <v>191</v>
      </c>
      <c r="B61" s="3">
        <v>76241.259999999995</v>
      </c>
    </row>
    <row r="62" spans="1:2" x14ac:dyDescent="0.25">
      <c r="A62" s="3" t="s">
        <v>190</v>
      </c>
      <c r="B62" s="3">
        <v>79281.89</v>
      </c>
    </row>
    <row r="63" spans="1:2" x14ac:dyDescent="0.25">
      <c r="A63" s="3" t="s">
        <v>189</v>
      </c>
      <c r="B63" s="3">
        <v>79286.89</v>
      </c>
    </row>
    <row r="64" spans="1:2" x14ac:dyDescent="0.25">
      <c r="A64" s="3" t="s">
        <v>188</v>
      </c>
      <c r="B64" s="3">
        <v>78264.86</v>
      </c>
    </row>
    <row r="65" spans="1:4" x14ac:dyDescent="0.25">
      <c r="A65" s="3" t="s">
        <v>187</v>
      </c>
      <c r="B65" s="3">
        <v>77522.77</v>
      </c>
    </row>
    <row r="66" spans="1:4" x14ac:dyDescent="0.25">
      <c r="A66" s="3" t="s">
        <v>186</v>
      </c>
      <c r="B66" s="3">
        <v>77449.87</v>
      </c>
    </row>
    <row r="67" spans="1:4" x14ac:dyDescent="0.25">
      <c r="A67" s="3" t="s">
        <v>185</v>
      </c>
      <c r="B67" s="3">
        <v>77028.899999999994</v>
      </c>
    </row>
    <row r="68" spans="1:4" x14ac:dyDescent="0.25">
      <c r="A68" s="3" t="s">
        <v>184</v>
      </c>
      <c r="B68" s="3">
        <v>76866.679999999993</v>
      </c>
    </row>
    <row r="69" spans="1:4" x14ac:dyDescent="0.25">
      <c r="A69" s="3" t="s">
        <v>183</v>
      </c>
      <c r="B69" s="3">
        <v>77925.509999999995</v>
      </c>
    </row>
    <row r="70" spans="1:4" x14ac:dyDescent="0.25">
      <c r="A70" s="3" t="s">
        <v>182</v>
      </c>
      <c r="B70" s="3">
        <v>76176.27</v>
      </c>
    </row>
    <row r="71" spans="1:4" x14ac:dyDescent="0.25">
      <c r="A71" s="3" t="s">
        <v>181</v>
      </c>
      <c r="B71" s="3">
        <v>76268.81</v>
      </c>
    </row>
    <row r="72" spans="1:4" x14ac:dyDescent="0.25">
      <c r="A72" s="3" t="s">
        <v>180</v>
      </c>
      <c r="B72" s="3">
        <v>75297.03</v>
      </c>
    </row>
    <row r="73" spans="1:4" x14ac:dyDescent="0.25">
      <c r="A73" s="3" t="s">
        <v>179</v>
      </c>
      <c r="B73" s="3">
        <v>77911.98</v>
      </c>
    </row>
    <row r="74" spans="1:4" x14ac:dyDescent="0.25">
      <c r="A74" s="3" t="s">
        <v>178</v>
      </c>
      <c r="B74" s="3">
        <v>80641.490000000005</v>
      </c>
    </row>
    <row r="75" spans="1:4" x14ac:dyDescent="0.25">
      <c r="A75" s="3" t="s">
        <v>177</v>
      </c>
      <c r="B75" s="3">
        <v>79795.039999999994</v>
      </c>
      <c r="D75" s="14"/>
    </row>
    <row r="76" spans="1:4" x14ac:dyDescent="0.25">
      <c r="A76" s="3" t="s">
        <v>176</v>
      </c>
      <c r="B76" s="3">
        <v>79936.91</v>
      </c>
    </row>
    <row r="77" spans="1:4" x14ac:dyDescent="0.25">
      <c r="A77" s="3" t="s">
        <v>175</v>
      </c>
      <c r="B77" s="3">
        <v>80935.649999999994</v>
      </c>
      <c r="D77" s="3">
        <f>AVERAGE(B75:B77)</f>
        <v>80222.53333333334</v>
      </c>
    </row>
    <row r="78" spans="1:4" x14ac:dyDescent="0.25">
      <c r="A78" s="3" t="s">
        <v>174</v>
      </c>
      <c r="B78" s="3">
        <v>80516.22</v>
      </c>
    </row>
    <row r="79" spans="1:4" x14ac:dyDescent="0.25">
      <c r="A79" s="3" t="s">
        <v>173</v>
      </c>
      <c r="B79" s="3">
        <v>83396.850000000006</v>
      </c>
    </row>
    <row r="80" spans="1:4" x14ac:dyDescent="0.25">
      <c r="A80" s="3" t="s">
        <v>172</v>
      </c>
      <c r="B80" s="3">
        <v>85274.62</v>
      </c>
      <c r="D80" s="3">
        <f>AVERAGE(B78:B80)</f>
        <v>83062.563333333339</v>
      </c>
    </row>
    <row r="81" spans="1:4" x14ac:dyDescent="0.25">
      <c r="A81" s="3" t="s">
        <v>171</v>
      </c>
      <c r="B81" s="3">
        <v>87323.95</v>
      </c>
    </row>
    <row r="82" spans="1:4" x14ac:dyDescent="0.25">
      <c r="A82" s="3" t="s">
        <v>170</v>
      </c>
      <c r="B82" s="3">
        <v>86040.26</v>
      </c>
    </row>
    <row r="83" spans="1:4" x14ac:dyDescent="0.25">
      <c r="A83" s="3" t="s">
        <v>169</v>
      </c>
      <c r="B83" s="3">
        <v>87091.65</v>
      </c>
      <c r="D83" s="3">
        <f>AVERAGE(B81:B83)</f>
        <v>86818.62</v>
      </c>
    </row>
    <row r="84" spans="1:4" x14ac:dyDescent="0.25">
      <c r="A84" s="3" t="s">
        <v>168</v>
      </c>
      <c r="B84" s="3">
        <v>86889.09</v>
      </c>
    </row>
    <row r="85" spans="1:4" x14ac:dyDescent="0.25">
      <c r="A85" s="3" t="s">
        <v>167</v>
      </c>
      <c r="B85" s="3">
        <v>89945.56</v>
      </c>
    </row>
    <row r="86" spans="1:4" x14ac:dyDescent="0.25">
      <c r="A86" s="3" t="s">
        <v>166</v>
      </c>
      <c r="B86" s="3">
        <v>91774.25</v>
      </c>
      <c r="D86" s="3">
        <f>AVERAGE(B84:B86)</f>
        <v>89536.3</v>
      </c>
    </row>
    <row r="87" spans="1:4" x14ac:dyDescent="0.25">
      <c r="A87" s="3" t="s">
        <v>165</v>
      </c>
      <c r="B87" s="3">
        <v>122726.279925</v>
      </c>
    </row>
    <row r="88" spans="1:4" x14ac:dyDescent="0.25">
      <c r="A88" s="3" t="s">
        <v>164</v>
      </c>
      <c r="B88" s="3">
        <v>122274.639532</v>
      </c>
    </row>
    <row r="89" spans="1:4" x14ac:dyDescent="0.25">
      <c r="A89" s="3" t="s">
        <v>163</v>
      </c>
      <c r="B89" s="3">
        <v>123813.91482999999</v>
      </c>
      <c r="D89" s="3">
        <f>AVERAGE(B87:B89)</f>
        <v>122938.27809566667</v>
      </c>
    </row>
    <row r="90" spans="1:4" x14ac:dyDescent="0.25">
      <c r="A90" s="3" t="s">
        <v>162</v>
      </c>
      <c r="B90" s="3">
        <v>123097.343333</v>
      </c>
    </row>
    <row r="91" spans="1:4" x14ac:dyDescent="0.25">
      <c r="A91" s="3" t="s">
        <v>161</v>
      </c>
      <c r="B91" s="3">
        <v>126244.921692</v>
      </c>
    </row>
    <row r="92" spans="1:4" x14ac:dyDescent="0.25">
      <c r="A92" s="3" t="s">
        <v>160</v>
      </c>
      <c r="B92" s="3">
        <v>128169.041018</v>
      </c>
      <c r="D92" s="3">
        <f>AVERAGE(B90:B92)</f>
        <v>125837.10201433334</v>
      </c>
    </row>
    <row r="93" spans="1:4" x14ac:dyDescent="0.25">
      <c r="A93" s="3" t="s">
        <v>159</v>
      </c>
      <c r="B93" s="3">
        <v>129422.622343</v>
      </c>
    </row>
    <row r="94" spans="1:4" x14ac:dyDescent="0.25">
      <c r="A94" s="3" t="s">
        <v>158</v>
      </c>
      <c r="B94" s="3">
        <v>129752.45540200001</v>
      </c>
    </row>
    <row r="95" spans="1:4" x14ac:dyDescent="0.25">
      <c r="A95" s="3" t="s">
        <v>157</v>
      </c>
      <c r="B95" s="3">
        <v>133032.93035899999</v>
      </c>
      <c r="D95" s="3">
        <f>AVERAGE(B93:B95)</f>
        <v>130736.00270133333</v>
      </c>
    </row>
    <row r="96" spans="1:4" x14ac:dyDescent="0.25">
      <c r="A96" s="3" t="s">
        <v>156</v>
      </c>
      <c r="B96" s="3">
        <v>134201.11223100001</v>
      </c>
    </row>
    <row r="97" spans="1:4" x14ac:dyDescent="0.25">
      <c r="A97" s="3" t="s">
        <v>155</v>
      </c>
      <c r="B97" s="3">
        <v>136679.22917800001</v>
      </c>
    </row>
    <row r="98" spans="1:4" x14ac:dyDescent="0.25">
      <c r="A98" s="3" t="s">
        <v>154</v>
      </c>
      <c r="B98" s="3">
        <v>140361.83169200001</v>
      </c>
      <c r="D98" s="3">
        <f>AVERAGE(B96:B98)</f>
        <v>137080.72436700002</v>
      </c>
    </row>
    <row r="99" spans="1:4" x14ac:dyDescent="0.25">
      <c r="A99" s="3" t="s">
        <v>153</v>
      </c>
      <c r="B99" s="3">
        <v>142664.54762900001</v>
      </c>
    </row>
    <row r="100" spans="1:4" x14ac:dyDescent="0.25">
      <c r="A100" s="3" t="s">
        <v>152</v>
      </c>
      <c r="B100" s="3">
        <v>143383.155734</v>
      </c>
    </row>
    <row r="101" spans="1:4" x14ac:dyDescent="0.25">
      <c r="A101" s="3" t="s">
        <v>151</v>
      </c>
      <c r="B101" s="3">
        <v>144490.46896999999</v>
      </c>
      <c r="D101" s="3">
        <f>AVERAGE(B99:B101)</f>
        <v>143512.72411099999</v>
      </c>
    </row>
    <row r="102" spans="1:4" x14ac:dyDescent="0.25">
      <c r="A102" s="3" t="s">
        <v>150</v>
      </c>
      <c r="B102" s="3">
        <v>142428.618147</v>
      </c>
    </row>
    <row r="103" spans="1:4" x14ac:dyDescent="0.25">
      <c r="A103" s="3" t="s">
        <v>149</v>
      </c>
      <c r="B103" s="3">
        <v>144777.28059499999</v>
      </c>
    </row>
    <row r="104" spans="1:4" x14ac:dyDescent="0.25">
      <c r="A104" s="3" t="s">
        <v>148</v>
      </c>
      <c r="B104" s="3">
        <v>145040.453859</v>
      </c>
      <c r="D104" s="3">
        <f>AVERAGE(B102:B104)</f>
        <v>144082.11753366666</v>
      </c>
    </row>
    <row r="105" spans="1:4" x14ac:dyDescent="0.25">
      <c r="A105" s="3" t="s">
        <v>147</v>
      </c>
      <c r="B105" s="3">
        <v>147650.41091100001</v>
      </c>
    </row>
    <row r="106" spans="1:4" x14ac:dyDescent="0.25">
      <c r="A106" s="3" t="s">
        <v>146</v>
      </c>
      <c r="B106" s="3">
        <v>150548.160057</v>
      </c>
    </row>
    <row r="107" spans="1:4" x14ac:dyDescent="0.25">
      <c r="A107" s="3" t="s">
        <v>145</v>
      </c>
      <c r="B107" s="3">
        <v>150094.11584300001</v>
      </c>
      <c r="D107" s="3">
        <f>AVERAGE(B105:B107)</f>
        <v>149430.89560366666</v>
      </c>
    </row>
    <row r="108" spans="1:4" x14ac:dyDescent="0.25">
      <c r="A108" s="3" t="s">
        <v>144</v>
      </c>
      <c r="B108" s="3">
        <v>152399.46004899999</v>
      </c>
    </row>
    <row r="109" spans="1:4" x14ac:dyDescent="0.25">
      <c r="A109" s="3" t="s">
        <v>143</v>
      </c>
      <c r="B109" s="3">
        <v>154955.14226699999</v>
      </c>
    </row>
    <row r="110" spans="1:4" x14ac:dyDescent="0.25">
      <c r="A110" s="3" t="s">
        <v>142</v>
      </c>
      <c r="B110" s="3">
        <v>117675.38</v>
      </c>
      <c r="D110" s="3">
        <f>AVERAGE(B108:B110)</f>
        <v>141676.660772</v>
      </c>
    </row>
    <row r="111" spans="1:4" x14ac:dyDescent="0.25">
      <c r="A111" s="3" t="s">
        <v>141</v>
      </c>
      <c r="B111" s="3">
        <v>118137.28</v>
      </c>
    </row>
    <row r="112" spans="1:4" x14ac:dyDescent="0.25">
      <c r="A112" s="3" t="s">
        <v>140</v>
      </c>
      <c r="B112" s="3">
        <v>116988.34</v>
      </c>
    </row>
    <row r="113" spans="1:4" x14ac:dyDescent="0.25">
      <c r="A113" s="3" t="s">
        <v>139</v>
      </c>
      <c r="B113" s="3">
        <v>118429.19</v>
      </c>
      <c r="D113" s="3">
        <f>AVERAGE(B111:B113)</f>
        <v>117851.60333333333</v>
      </c>
    </row>
    <row r="114" spans="1:4" x14ac:dyDescent="0.25">
      <c r="A114" s="3" t="s">
        <v>138</v>
      </c>
      <c r="B114" s="3">
        <v>116196.38</v>
      </c>
    </row>
    <row r="115" spans="1:4" x14ac:dyDescent="0.25">
      <c r="A115" s="3" t="s">
        <v>137</v>
      </c>
      <c r="B115" s="3">
        <v>120942.8</v>
      </c>
    </row>
    <row r="116" spans="1:4" x14ac:dyDescent="0.25">
      <c r="A116" s="3" t="s">
        <v>136</v>
      </c>
      <c r="B116" s="3">
        <v>121100.51</v>
      </c>
      <c r="D116" s="3">
        <f>AVERAGE(B114:B116)</f>
        <v>119413.23</v>
      </c>
    </row>
    <row r="117" spans="1:4" x14ac:dyDescent="0.25">
      <c r="A117" s="3" t="s">
        <v>135</v>
      </c>
      <c r="B117" s="3">
        <v>123203.45</v>
      </c>
    </row>
    <row r="118" spans="1:4" x14ac:dyDescent="0.25">
      <c r="A118" s="3" t="s">
        <v>134</v>
      </c>
      <c r="B118" s="3">
        <v>122045.92</v>
      </c>
    </row>
    <row r="119" spans="1:4" x14ac:dyDescent="0.25">
      <c r="A119" s="3" t="s">
        <v>133</v>
      </c>
      <c r="B119" s="3">
        <v>123649.57</v>
      </c>
      <c r="D119" s="3">
        <f>AVERAGE(B117:B119)</f>
        <v>122966.31333333334</v>
      </c>
    </row>
    <row r="120" spans="1:4" x14ac:dyDescent="0.25">
      <c r="A120" s="3" t="s">
        <v>132</v>
      </c>
      <c r="B120" s="3">
        <v>125219.91</v>
      </c>
    </row>
    <row r="121" spans="1:4" x14ac:dyDescent="0.25">
      <c r="A121" s="3" t="s">
        <v>131</v>
      </c>
      <c r="B121" s="3">
        <v>128627.22</v>
      </c>
    </row>
    <row r="122" spans="1:4" x14ac:dyDescent="0.25">
      <c r="A122" s="3" t="s">
        <v>130</v>
      </c>
      <c r="B122" s="3">
        <v>131796.09</v>
      </c>
      <c r="D122" s="3">
        <f>AVERAGE(B120:B122)</f>
        <v>128547.73999999999</v>
      </c>
    </row>
    <row r="123" spans="1:4" x14ac:dyDescent="0.25">
      <c r="A123" s="3" t="s">
        <v>129</v>
      </c>
      <c r="B123" s="3">
        <v>134574.06</v>
      </c>
    </row>
    <row r="124" spans="1:4" x14ac:dyDescent="0.25">
      <c r="A124" s="3" t="s">
        <v>128</v>
      </c>
      <c r="B124" s="3">
        <v>133534.35999999999</v>
      </c>
    </row>
    <row r="125" spans="1:4" x14ac:dyDescent="0.25">
      <c r="A125" s="3" t="s">
        <v>127</v>
      </c>
      <c r="B125" s="3">
        <v>137710.26999999999</v>
      </c>
      <c r="D125" s="3">
        <f>AVERAGE(B123:B125)</f>
        <v>135272.89666666664</v>
      </c>
    </row>
    <row r="126" spans="1:4" x14ac:dyDescent="0.25">
      <c r="A126" s="3" t="s">
        <v>126</v>
      </c>
      <c r="B126" s="3">
        <v>142291.74</v>
      </c>
    </row>
    <row r="127" spans="1:4" x14ac:dyDescent="0.25">
      <c r="A127" s="3" t="s">
        <v>125</v>
      </c>
      <c r="B127" s="3">
        <v>146861.26999999999</v>
      </c>
    </row>
    <row r="128" spans="1:4" x14ac:dyDescent="0.25">
      <c r="A128" s="3" t="s">
        <v>124</v>
      </c>
      <c r="B128" s="3">
        <v>151884.53</v>
      </c>
      <c r="D128" s="3">
        <f>AVERAGE(B126:B128)</f>
        <v>147012.51333333334</v>
      </c>
    </row>
    <row r="129" spans="1:4" x14ac:dyDescent="0.25">
      <c r="A129" s="3" t="s">
        <v>123</v>
      </c>
      <c r="B129" s="3">
        <v>157611.70000000001</v>
      </c>
    </row>
    <row r="130" spans="1:4" x14ac:dyDescent="0.25">
      <c r="A130" s="3" t="s">
        <v>122</v>
      </c>
      <c r="B130" s="3">
        <v>158647.10999999999</v>
      </c>
    </row>
    <row r="131" spans="1:4" x14ac:dyDescent="0.25">
      <c r="A131" s="3" t="s">
        <v>121</v>
      </c>
      <c r="B131" s="3">
        <v>157529.70000000001</v>
      </c>
      <c r="D131" s="3">
        <f>AVERAGE(B129:B131)</f>
        <v>157929.50333333333</v>
      </c>
    </row>
    <row r="132" spans="1:4" x14ac:dyDescent="0.25">
      <c r="A132" s="3" t="s">
        <v>120</v>
      </c>
      <c r="B132" s="3">
        <v>159767.85999999999</v>
      </c>
    </row>
    <row r="133" spans="1:4" x14ac:dyDescent="0.25">
      <c r="A133" s="3" t="s">
        <v>119</v>
      </c>
      <c r="B133" s="3">
        <v>161825.54</v>
      </c>
    </row>
    <row r="134" spans="1:4" x14ac:dyDescent="0.25">
      <c r="A134" s="3" t="s">
        <v>118</v>
      </c>
      <c r="B134" s="3">
        <v>166988.99609363201</v>
      </c>
      <c r="D134" s="3">
        <f>AVERAGE(B132:B134)</f>
        <v>162860.79869787736</v>
      </c>
    </row>
    <row r="135" spans="1:4" x14ac:dyDescent="0.25">
      <c r="A135" s="3" t="s">
        <v>117</v>
      </c>
      <c r="B135" s="3">
        <v>163968.02149608399</v>
      </c>
    </row>
    <row r="136" spans="1:4" x14ac:dyDescent="0.25">
      <c r="A136" s="3" t="s">
        <v>116</v>
      </c>
      <c r="B136" s="3">
        <v>165335.550289595</v>
      </c>
    </row>
    <row r="137" spans="1:4" x14ac:dyDescent="0.25">
      <c r="A137" s="3" t="s">
        <v>115</v>
      </c>
      <c r="B137" s="3">
        <v>165519.61836544401</v>
      </c>
      <c r="D137" s="3">
        <f>AVERAGE(B135:B137)</f>
        <v>164941.06338370766</v>
      </c>
    </row>
    <row r="138" spans="1:4" x14ac:dyDescent="0.25">
      <c r="A138" s="3" t="s">
        <v>114</v>
      </c>
      <c r="B138" s="3">
        <v>163001.60628829099</v>
      </c>
    </row>
    <row r="139" spans="1:4" x14ac:dyDescent="0.25">
      <c r="A139" s="3" t="s">
        <v>113</v>
      </c>
      <c r="B139" s="3">
        <v>159991.41796628901</v>
      </c>
    </row>
    <row r="140" spans="1:4" x14ac:dyDescent="0.25">
      <c r="A140" s="3" t="s">
        <v>112</v>
      </c>
      <c r="B140" s="3">
        <v>157004.39970365501</v>
      </c>
      <c r="D140" s="3">
        <f>AVERAGE(B138:B140)</f>
        <v>159999.14131941169</v>
      </c>
    </row>
    <row r="141" spans="1:4" x14ac:dyDescent="0.25">
      <c r="A141" s="3" t="s">
        <v>111</v>
      </c>
      <c r="B141" s="3">
        <v>161474.434657209</v>
      </c>
    </row>
    <row r="142" spans="1:4" x14ac:dyDescent="0.25">
      <c r="A142" s="3" t="s">
        <v>110</v>
      </c>
      <c r="B142" s="3">
        <v>162462.160851836</v>
      </c>
    </row>
    <row r="143" spans="1:4" x14ac:dyDescent="0.25">
      <c r="A143" s="3" t="s">
        <v>109</v>
      </c>
      <c r="B143" s="3">
        <v>163595.86192037899</v>
      </c>
      <c r="D143" s="3">
        <f>AVERAGE(B141:B143)</f>
        <v>162510.81914314133</v>
      </c>
    </row>
    <row r="144" spans="1:4" x14ac:dyDescent="0.25">
      <c r="A144" s="3" t="s">
        <v>108</v>
      </c>
      <c r="B144" s="3">
        <v>163003.394932586</v>
      </c>
    </row>
    <row r="145" spans="1:4" x14ac:dyDescent="0.25">
      <c r="A145" s="3" t="s">
        <v>107</v>
      </c>
      <c r="B145" s="3">
        <v>162186.99716835801</v>
      </c>
    </row>
    <row r="146" spans="1:4" x14ac:dyDescent="0.25">
      <c r="A146" s="3" t="s">
        <v>106</v>
      </c>
      <c r="B146" s="3">
        <v>164591.34225673601</v>
      </c>
      <c r="D146" s="3">
        <f>AVERAGE(B144:B146)</f>
        <v>163260.57811922667</v>
      </c>
    </row>
    <row r="147" spans="1:4" x14ac:dyDescent="0.25">
      <c r="A147" s="3" t="s">
        <v>105</v>
      </c>
      <c r="B147" s="3">
        <v>161468.881550522</v>
      </c>
    </row>
    <row r="148" spans="1:4" x14ac:dyDescent="0.25">
      <c r="A148" s="3" t="s">
        <v>104</v>
      </c>
      <c r="B148" s="3">
        <v>160776.504322533</v>
      </c>
    </row>
    <row r="149" spans="1:4" x14ac:dyDescent="0.25">
      <c r="A149" s="3" t="s">
        <v>103</v>
      </c>
      <c r="B149" s="3">
        <v>160853.2150995</v>
      </c>
      <c r="D149" s="3">
        <f>AVERAGE(B147:B149)</f>
        <v>161032.86699085167</v>
      </c>
    </row>
    <row r="150" spans="1:4" x14ac:dyDescent="0.25">
      <c r="A150" s="3" t="s">
        <v>102</v>
      </c>
      <c r="B150" s="3">
        <v>159641.19933970601</v>
      </c>
    </row>
    <row r="151" spans="1:4" x14ac:dyDescent="0.25">
      <c r="A151" s="3" t="s">
        <v>101</v>
      </c>
      <c r="B151" s="3">
        <v>158341.88704577199</v>
      </c>
    </row>
    <row r="152" spans="1:4" x14ac:dyDescent="0.25">
      <c r="A152" s="3" t="s">
        <v>100</v>
      </c>
      <c r="B152" s="3">
        <v>157934.789871974</v>
      </c>
      <c r="D152" s="3">
        <f>AVERAGE(B150:B152)</f>
        <v>158639.29208581735</v>
      </c>
    </row>
    <row r="153" spans="1:4" x14ac:dyDescent="0.25">
      <c r="A153" s="3" t="s">
        <v>99</v>
      </c>
      <c r="B153" s="3">
        <v>164435.51091167601</v>
      </c>
    </row>
    <row r="154" spans="1:4" x14ac:dyDescent="0.25">
      <c r="A154" s="3" t="s">
        <v>98</v>
      </c>
      <c r="B154" s="3">
        <v>164457.81130909399</v>
      </c>
    </row>
    <row r="155" spans="1:4" x14ac:dyDescent="0.25">
      <c r="A155" s="3" t="s">
        <v>97</v>
      </c>
      <c r="B155" s="3">
        <v>167664.71076887299</v>
      </c>
      <c r="D155" s="3">
        <f>AVERAGE(B153:B155)</f>
        <v>165519.34432988099</v>
      </c>
    </row>
    <row r="156" spans="1:4" x14ac:dyDescent="0.25">
      <c r="A156" s="3" t="s">
        <v>96</v>
      </c>
      <c r="B156" s="3">
        <v>167857.28426453299</v>
      </c>
    </row>
    <row r="157" spans="1:4" x14ac:dyDescent="0.25">
      <c r="A157" s="3" t="s">
        <v>95</v>
      </c>
      <c r="B157" s="3">
        <v>167070.89755851301</v>
      </c>
    </row>
    <row r="158" spans="1:4" x14ac:dyDescent="0.25">
      <c r="A158" s="3" t="s">
        <v>94</v>
      </c>
      <c r="B158" s="3">
        <v>172378.17456266901</v>
      </c>
      <c r="D158" s="3">
        <f>AVERAGE(B156:B158)</f>
        <v>169102.11879523835</v>
      </c>
    </row>
    <row r="159" spans="1:4" x14ac:dyDescent="0.25">
      <c r="A159" s="3" t="s">
        <v>93</v>
      </c>
      <c r="B159" s="3">
        <v>170781.12391602501</v>
      </c>
    </row>
    <row r="160" spans="1:4" x14ac:dyDescent="0.25">
      <c r="A160" s="3" t="s">
        <v>92</v>
      </c>
      <c r="B160" s="3">
        <v>169050.92642048799</v>
      </c>
    </row>
    <row r="161" spans="1:4" x14ac:dyDescent="0.25">
      <c r="A161" s="3" t="s">
        <v>91</v>
      </c>
      <c r="B161" s="3">
        <v>171637.83098448499</v>
      </c>
      <c r="D161" s="3">
        <f>AVERAGE(B159:B161)</f>
        <v>170489.96044033265</v>
      </c>
    </row>
    <row r="162" spans="1:4" x14ac:dyDescent="0.25">
      <c r="A162" s="3" t="s">
        <v>90</v>
      </c>
      <c r="B162" s="3">
        <v>170145.713330194</v>
      </c>
    </row>
    <row r="163" spans="1:4" x14ac:dyDescent="0.25">
      <c r="A163" s="3" t="s">
        <v>89</v>
      </c>
      <c r="B163" s="3">
        <v>171798.092687344</v>
      </c>
    </row>
    <row r="164" spans="1:4" x14ac:dyDescent="0.25">
      <c r="A164" s="3" t="s">
        <v>88</v>
      </c>
      <c r="B164" s="3">
        <v>171147.69037946701</v>
      </c>
      <c r="D164" s="3">
        <f>AVERAGE(B162:B164)</f>
        <v>171030.49879900168</v>
      </c>
    </row>
    <row r="165" spans="1:4" x14ac:dyDescent="0.25">
      <c r="A165" s="3" t="s">
        <v>87</v>
      </c>
      <c r="B165" s="3">
        <v>175444.28009102101</v>
      </c>
    </row>
    <row r="166" spans="1:4" x14ac:dyDescent="0.25">
      <c r="A166" s="3" t="s">
        <v>86</v>
      </c>
      <c r="B166" s="3">
        <v>173892.192021517</v>
      </c>
    </row>
    <row r="167" spans="1:4" x14ac:dyDescent="0.25">
      <c r="A167" s="3" t="s">
        <v>85</v>
      </c>
      <c r="B167" s="3">
        <v>174505.771385334</v>
      </c>
      <c r="D167" s="3">
        <f>AVERAGE(B165:B167)</f>
        <v>174614.08116595735</v>
      </c>
    </row>
    <row r="168" spans="1:4" x14ac:dyDescent="0.25">
      <c r="A168" s="3" t="s">
        <v>84</v>
      </c>
      <c r="B168" s="3">
        <v>174661.94027447101</v>
      </c>
    </row>
    <row r="169" spans="1:4" x14ac:dyDescent="0.25">
      <c r="A169" s="3" t="s">
        <v>83</v>
      </c>
      <c r="B169" s="3">
        <v>175972.03104877201</v>
      </c>
    </row>
    <row r="170" spans="1:4" x14ac:dyDescent="0.25">
      <c r="A170" s="3" t="s">
        <v>82</v>
      </c>
      <c r="B170" s="3">
        <v>179305.48042560599</v>
      </c>
      <c r="D170" s="3">
        <f>AVERAGE(B168:B170)</f>
        <v>176646.483916283</v>
      </c>
    </row>
    <row r="171" spans="1:4" x14ac:dyDescent="0.25">
      <c r="A171" s="3" t="s">
        <v>81</v>
      </c>
      <c r="B171" s="3">
        <v>179890.56537532099</v>
      </c>
    </row>
    <row r="172" spans="1:4" x14ac:dyDescent="0.25">
      <c r="A172" s="3" t="s">
        <v>80</v>
      </c>
      <c r="B172" s="3">
        <v>180557.515016839</v>
      </c>
    </row>
    <row r="173" spans="1:4" x14ac:dyDescent="0.25">
      <c r="A173" s="3" t="s">
        <v>79</v>
      </c>
      <c r="B173" s="3">
        <v>178786.126631647</v>
      </c>
      <c r="D173" s="3">
        <f>AVERAGE(B171:B173)</f>
        <v>179744.73567460233</v>
      </c>
    </row>
    <row r="174" spans="1:4" x14ac:dyDescent="0.25">
      <c r="A174" s="3" t="s">
        <v>78</v>
      </c>
      <c r="B174" s="3">
        <v>179727.68307338699</v>
      </c>
    </row>
    <row r="175" spans="1:4" x14ac:dyDescent="0.25">
      <c r="A175" s="3" t="s">
        <v>77</v>
      </c>
      <c r="B175" s="3">
        <v>182036.361223774</v>
      </c>
    </row>
    <row r="176" spans="1:4" x14ac:dyDescent="0.25">
      <c r="A176" s="3" t="s">
        <v>76</v>
      </c>
      <c r="B176" s="3">
        <v>185465.26257153699</v>
      </c>
      <c r="D176" s="3">
        <f>AVERAGE(B174:B176)</f>
        <v>182409.76895623267</v>
      </c>
    </row>
    <row r="177" spans="1:4" x14ac:dyDescent="0.25">
      <c r="A177" s="3" t="s">
        <v>75</v>
      </c>
      <c r="B177" s="3">
        <v>190719.95628255699</v>
      </c>
    </row>
    <row r="178" spans="1:4" x14ac:dyDescent="0.25">
      <c r="A178" s="3" t="s">
        <v>74</v>
      </c>
      <c r="B178" s="3">
        <v>192239.76643470701</v>
      </c>
    </row>
    <row r="179" spans="1:4" x14ac:dyDescent="0.25">
      <c r="A179" s="3" t="s">
        <v>73</v>
      </c>
      <c r="B179" s="3">
        <v>192380.51076941501</v>
      </c>
      <c r="D179" s="3">
        <f>AVERAGE(B177:B179)</f>
        <v>191780.07782889297</v>
      </c>
    </row>
    <row r="180" spans="1:4" x14ac:dyDescent="0.25">
      <c r="A180" s="3" t="s">
        <v>72</v>
      </c>
      <c r="B180" s="3">
        <v>196598.57957975499</v>
      </c>
    </row>
    <row r="181" spans="1:4" x14ac:dyDescent="0.25">
      <c r="A181" s="3" t="s">
        <v>71</v>
      </c>
      <c r="B181" s="3">
        <v>196903.91608886301</v>
      </c>
    </row>
    <row r="182" spans="1:4" x14ac:dyDescent="0.25">
      <c r="A182" s="3" t="s">
        <v>70</v>
      </c>
      <c r="B182" s="3">
        <v>199835.53674399</v>
      </c>
      <c r="D182" s="3">
        <f>AVERAGE(B180:B182)</f>
        <v>197779.34413753601</v>
      </c>
    </row>
  </sheetData>
  <hyperlinks>
    <hyperlink ref="J2" r:id="rId1" xr:uid="{BB13AA55-79F8-439C-B953-96092B5FF66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048C8-3786-4139-907C-EA03BCC33D6F}">
  <dimension ref="A1:I182"/>
  <sheetViews>
    <sheetView workbookViewId="0">
      <selection activeCell="B2" sqref="B2"/>
    </sheetView>
  </sheetViews>
  <sheetFormatPr baseColWidth="10" defaultColWidth="9.140625" defaultRowHeight="15" x14ac:dyDescent="0.25"/>
  <cols>
    <col min="1" max="16384" width="9.140625" style="3"/>
  </cols>
  <sheetData>
    <row r="1" spans="1:9" x14ac:dyDescent="0.25">
      <c r="B1" s="3" t="s">
        <v>269</v>
      </c>
    </row>
    <row r="2" spans="1:9" x14ac:dyDescent="0.25">
      <c r="B2" s="3" t="s">
        <v>268</v>
      </c>
      <c r="I2" s="18" t="s">
        <v>267</v>
      </c>
    </row>
    <row r="3" spans="1:9" x14ac:dyDescent="0.25">
      <c r="A3" s="3" t="s">
        <v>249</v>
      </c>
      <c r="B3" s="3">
        <v>18552.689044140101</v>
      </c>
    </row>
    <row r="4" spans="1:9" x14ac:dyDescent="0.25">
      <c r="A4" s="3" t="s">
        <v>248</v>
      </c>
      <c r="B4" s="3">
        <v>18419.104576931699</v>
      </c>
    </row>
    <row r="5" spans="1:9" x14ac:dyDescent="0.25">
      <c r="A5" s="3" t="s">
        <v>247</v>
      </c>
      <c r="B5" s="3">
        <v>18273.619576032699</v>
      </c>
    </row>
    <row r="6" spans="1:9" x14ac:dyDescent="0.25">
      <c r="A6" s="3" t="s">
        <v>246</v>
      </c>
      <c r="B6" s="3">
        <v>18750.379219214701</v>
      </c>
    </row>
    <row r="7" spans="1:9" x14ac:dyDescent="0.25">
      <c r="A7" s="3" t="s">
        <v>245</v>
      </c>
      <c r="B7" s="3">
        <v>18655.493167479999</v>
      </c>
    </row>
    <row r="8" spans="1:9" x14ac:dyDescent="0.25">
      <c r="A8" s="3" t="s">
        <v>244</v>
      </c>
      <c r="B8" s="3">
        <v>18786.3709424382</v>
      </c>
    </row>
    <row r="9" spans="1:9" x14ac:dyDescent="0.25">
      <c r="A9" s="3" t="s">
        <v>243</v>
      </c>
      <c r="B9" s="3">
        <v>19176.791323658599</v>
      </c>
    </row>
    <row r="10" spans="1:9" x14ac:dyDescent="0.25">
      <c r="A10" s="3" t="s">
        <v>242</v>
      </c>
      <c r="B10" s="3">
        <v>19202.102434869001</v>
      </c>
    </row>
    <row r="11" spans="1:9" x14ac:dyDescent="0.25">
      <c r="A11" s="3" t="s">
        <v>241</v>
      </c>
      <c r="B11" s="3">
        <v>19171.744340703801</v>
      </c>
    </row>
    <row r="12" spans="1:9" x14ac:dyDescent="0.25">
      <c r="A12" s="3" t="s">
        <v>240</v>
      </c>
      <c r="B12" s="3">
        <v>18900.304097824599</v>
      </c>
    </row>
    <row r="13" spans="1:9" x14ac:dyDescent="0.25">
      <c r="A13" s="3" t="s">
        <v>239</v>
      </c>
      <c r="B13" s="3">
        <v>18671.433205256799</v>
      </c>
    </row>
    <row r="14" spans="1:9" x14ac:dyDescent="0.25">
      <c r="A14" s="3" t="s">
        <v>238</v>
      </c>
      <c r="B14" s="3">
        <v>18251.989454156799</v>
      </c>
    </row>
    <row r="15" spans="1:9" x14ac:dyDescent="0.25">
      <c r="A15" s="3" t="s">
        <v>237</v>
      </c>
      <c r="B15" s="3">
        <v>18447.679957319098</v>
      </c>
    </row>
    <row r="16" spans="1:9" x14ac:dyDescent="0.25">
      <c r="A16" s="3" t="s">
        <v>236</v>
      </c>
      <c r="B16" s="3">
        <v>18102.842505649802</v>
      </c>
    </row>
    <row r="17" spans="1:2" x14ac:dyDescent="0.25">
      <c r="A17" s="3" t="s">
        <v>235</v>
      </c>
      <c r="B17" s="3">
        <v>18060.158517346801</v>
      </c>
    </row>
    <row r="18" spans="1:2" x14ac:dyDescent="0.25">
      <c r="A18" s="3" t="s">
        <v>234</v>
      </c>
      <c r="B18" s="3">
        <v>18524.911390443802</v>
      </c>
    </row>
    <row r="19" spans="1:2" x14ac:dyDescent="0.25">
      <c r="A19" s="3" t="s">
        <v>233</v>
      </c>
      <c r="B19" s="3">
        <v>18280.5220081486</v>
      </c>
    </row>
    <row r="20" spans="1:2" x14ac:dyDescent="0.25">
      <c r="A20" s="3" t="s">
        <v>232</v>
      </c>
      <c r="B20" s="3">
        <v>17799.231106797899</v>
      </c>
    </row>
    <row r="21" spans="1:2" x14ac:dyDescent="0.25">
      <c r="A21" s="3" t="s">
        <v>231</v>
      </c>
      <c r="B21" s="3">
        <v>17566.461824536302</v>
      </c>
    </row>
    <row r="22" spans="1:2" x14ac:dyDescent="0.25">
      <c r="A22" s="3" t="s">
        <v>230</v>
      </c>
      <c r="B22" s="3">
        <v>17299.578859499201</v>
      </c>
    </row>
    <row r="23" spans="1:2" x14ac:dyDescent="0.25">
      <c r="A23" s="3" t="s">
        <v>229</v>
      </c>
      <c r="B23" s="3">
        <v>17355.502953224699</v>
      </c>
    </row>
    <row r="24" spans="1:2" x14ac:dyDescent="0.25">
      <c r="A24" s="3" t="s">
        <v>228</v>
      </c>
      <c r="B24" s="3">
        <v>17235.834051420501</v>
      </c>
    </row>
    <row r="25" spans="1:2" x14ac:dyDescent="0.25">
      <c r="A25" s="3" t="s">
        <v>227</v>
      </c>
      <c r="B25" s="3">
        <v>17097.3653960831</v>
      </c>
    </row>
    <row r="26" spans="1:2" x14ac:dyDescent="0.25">
      <c r="A26" s="3" t="s">
        <v>226</v>
      </c>
      <c r="B26" s="3">
        <v>17392.883494129401</v>
      </c>
    </row>
    <row r="27" spans="1:2" x14ac:dyDescent="0.25">
      <c r="A27" s="3" t="s">
        <v>225</v>
      </c>
      <c r="B27" s="3">
        <v>17302.286054538301</v>
      </c>
    </row>
    <row r="28" spans="1:2" x14ac:dyDescent="0.25">
      <c r="A28" s="3" t="s">
        <v>224</v>
      </c>
      <c r="B28" s="3">
        <v>17370.997748698301</v>
      </c>
    </row>
    <row r="29" spans="1:2" x14ac:dyDescent="0.25">
      <c r="A29" s="3" t="s">
        <v>223</v>
      </c>
      <c r="B29" s="3">
        <v>17168.332641492001</v>
      </c>
    </row>
    <row r="30" spans="1:2" x14ac:dyDescent="0.25">
      <c r="A30" s="3" t="s">
        <v>222</v>
      </c>
      <c r="B30" s="3">
        <v>17197.1259282832</v>
      </c>
    </row>
    <row r="31" spans="1:2" x14ac:dyDescent="0.25">
      <c r="A31" s="3" t="s">
        <v>221</v>
      </c>
      <c r="B31" s="3">
        <v>17541.188931012901</v>
      </c>
    </row>
    <row r="32" spans="1:2" x14ac:dyDescent="0.25">
      <c r="A32" s="3" t="s">
        <v>220</v>
      </c>
      <c r="B32" s="3">
        <v>17438.6302964729</v>
      </c>
    </row>
    <row r="33" spans="1:2" x14ac:dyDescent="0.25">
      <c r="A33" s="3" t="s">
        <v>219</v>
      </c>
      <c r="B33" s="3">
        <v>17639.344726392399</v>
      </c>
    </row>
    <row r="34" spans="1:2" x14ac:dyDescent="0.25">
      <c r="A34" s="3" t="s">
        <v>218</v>
      </c>
      <c r="B34" s="3">
        <v>17660.6780913275</v>
      </c>
    </row>
    <row r="35" spans="1:2" x14ac:dyDescent="0.25">
      <c r="A35" s="3" t="s">
        <v>217</v>
      </c>
      <c r="B35" s="3">
        <v>17432.627896866401</v>
      </c>
    </row>
    <row r="36" spans="1:2" x14ac:dyDescent="0.25">
      <c r="A36" s="3" t="s">
        <v>216</v>
      </c>
      <c r="B36" s="3">
        <v>17746.409019143299</v>
      </c>
    </row>
    <row r="37" spans="1:2" x14ac:dyDescent="0.25">
      <c r="A37" s="3" t="s">
        <v>215</v>
      </c>
      <c r="B37" s="3">
        <v>17788.851399127001</v>
      </c>
    </row>
    <row r="38" spans="1:2" x14ac:dyDescent="0.25">
      <c r="A38" s="3" t="s">
        <v>214</v>
      </c>
      <c r="B38" s="3">
        <v>16603.310327030202</v>
      </c>
    </row>
    <row r="39" spans="1:2" x14ac:dyDescent="0.25">
      <c r="A39" s="3" t="s">
        <v>213</v>
      </c>
      <c r="B39" s="3">
        <v>16705.360867712199</v>
      </c>
    </row>
    <row r="40" spans="1:2" x14ac:dyDescent="0.25">
      <c r="A40" s="3" t="s">
        <v>212</v>
      </c>
      <c r="B40" s="3">
        <v>16848.867184431801</v>
      </c>
    </row>
    <row r="41" spans="1:2" x14ac:dyDescent="0.25">
      <c r="A41" s="3" t="s">
        <v>211</v>
      </c>
      <c r="B41" s="3">
        <v>16871.3907469595</v>
      </c>
    </row>
    <row r="42" spans="1:2" x14ac:dyDescent="0.25">
      <c r="A42" s="3" t="s">
        <v>210</v>
      </c>
      <c r="B42" s="3">
        <v>16665.0850270097</v>
      </c>
    </row>
    <row r="43" spans="1:2" x14ac:dyDescent="0.25">
      <c r="A43" s="3" t="s">
        <v>209</v>
      </c>
      <c r="B43" s="3">
        <v>15767.9357604702</v>
      </c>
    </row>
    <row r="44" spans="1:2" x14ac:dyDescent="0.25">
      <c r="A44" s="3" t="s">
        <v>208</v>
      </c>
      <c r="B44" s="3">
        <v>15658.7280070611</v>
      </c>
    </row>
    <row r="45" spans="1:2" x14ac:dyDescent="0.25">
      <c r="A45" s="3" t="s">
        <v>207</v>
      </c>
      <c r="B45" s="3">
        <v>16269.379697946901</v>
      </c>
    </row>
    <row r="46" spans="1:2" x14ac:dyDescent="0.25">
      <c r="A46" s="3" t="s">
        <v>206</v>
      </c>
      <c r="B46" s="3">
        <v>16412.325420829398</v>
      </c>
    </row>
    <row r="47" spans="1:2" x14ac:dyDescent="0.25">
      <c r="A47" s="3" t="s">
        <v>205</v>
      </c>
      <c r="B47" s="3">
        <v>16454.807694380801</v>
      </c>
    </row>
    <row r="48" spans="1:2" x14ac:dyDescent="0.25">
      <c r="A48" s="3" t="s">
        <v>204</v>
      </c>
      <c r="B48" s="3">
        <v>16546.124917479101</v>
      </c>
    </row>
    <row r="49" spans="1:2" x14ac:dyDescent="0.25">
      <c r="A49" s="3" t="s">
        <v>203</v>
      </c>
      <c r="B49" s="3">
        <v>16818.6396048606</v>
      </c>
    </row>
    <row r="50" spans="1:2" x14ac:dyDescent="0.25">
      <c r="A50" s="3" t="s">
        <v>202</v>
      </c>
      <c r="B50" s="3">
        <v>17232.707910694699</v>
      </c>
    </row>
    <row r="51" spans="1:2" x14ac:dyDescent="0.25">
      <c r="A51" s="3" t="s">
        <v>201</v>
      </c>
      <c r="B51" s="3">
        <v>16956.2559907086</v>
      </c>
    </row>
    <row r="52" spans="1:2" x14ac:dyDescent="0.25">
      <c r="A52" s="3" t="s">
        <v>200</v>
      </c>
      <c r="B52" s="3">
        <v>17215.6353057991</v>
      </c>
    </row>
    <row r="53" spans="1:2" x14ac:dyDescent="0.25">
      <c r="A53" s="3" t="s">
        <v>199</v>
      </c>
      <c r="B53" s="3">
        <v>17179.027250721199</v>
      </c>
    </row>
    <row r="54" spans="1:2" x14ac:dyDescent="0.25">
      <c r="A54" s="3" t="s">
        <v>198</v>
      </c>
      <c r="B54" s="3">
        <v>17093.3997587798</v>
      </c>
    </row>
    <row r="55" spans="1:2" x14ac:dyDescent="0.25">
      <c r="A55" s="3" t="s">
        <v>197</v>
      </c>
      <c r="B55" s="3">
        <v>17121.394452414901</v>
      </c>
    </row>
    <row r="56" spans="1:2" x14ac:dyDescent="0.25">
      <c r="A56" s="3" t="s">
        <v>196</v>
      </c>
      <c r="B56" s="3">
        <v>17130.359283749902</v>
      </c>
    </row>
    <row r="57" spans="1:2" x14ac:dyDescent="0.25">
      <c r="A57" s="3" t="s">
        <v>195</v>
      </c>
      <c r="B57" s="3">
        <v>17237.5772647872</v>
      </c>
    </row>
    <row r="58" spans="1:2" x14ac:dyDescent="0.25">
      <c r="A58" s="3" t="s">
        <v>194</v>
      </c>
      <c r="B58" s="3">
        <v>17250.011322560102</v>
      </c>
    </row>
    <row r="59" spans="1:2" x14ac:dyDescent="0.25">
      <c r="A59" s="3" t="s">
        <v>193</v>
      </c>
      <c r="B59" s="3">
        <v>17542.553006633501</v>
      </c>
    </row>
    <row r="60" spans="1:2" x14ac:dyDescent="0.25">
      <c r="A60" s="3" t="s">
        <v>192</v>
      </c>
      <c r="B60" s="3">
        <v>17293.7261311037</v>
      </c>
    </row>
    <row r="61" spans="1:2" x14ac:dyDescent="0.25">
      <c r="A61" s="3" t="s">
        <v>191</v>
      </c>
      <c r="B61" s="3">
        <v>17115.1339962067</v>
      </c>
    </row>
    <row r="62" spans="1:2" x14ac:dyDescent="0.25">
      <c r="A62" s="3" t="s">
        <v>190</v>
      </c>
      <c r="B62" s="3">
        <v>17324.403574678301</v>
      </c>
    </row>
    <row r="63" spans="1:2" x14ac:dyDescent="0.25">
      <c r="A63" s="3" t="s">
        <v>189</v>
      </c>
      <c r="B63" s="3">
        <v>18153.5033697293</v>
      </c>
    </row>
    <row r="64" spans="1:2" x14ac:dyDescent="0.25">
      <c r="A64" s="3" t="s">
        <v>188</v>
      </c>
      <c r="B64" s="3">
        <v>18373.4949100294</v>
      </c>
    </row>
    <row r="65" spans="1:4" x14ac:dyDescent="0.25">
      <c r="A65" s="3" t="s">
        <v>187</v>
      </c>
      <c r="B65" s="3">
        <v>18227.9712498394</v>
      </c>
    </row>
    <row r="66" spans="1:4" x14ac:dyDescent="0.25">
      <c r="A66" s="3" t="s">
        <v>186</v>
      </c>
      <c r="B66" s="3">
        <v>18600.202783537101</v>
      </c>
    </row>
    <row r="67" spans="1:4" x14ac:dyDescent="0.25">
      <c r="A67" s="3" t="s">
        <v>185</v>
      </c>
      <c r="B67" s="3">
        <v>19047.0664228762</v>
      </c>
    </row>
    <row r="68" spans="1:4" x14ac:dyDescent="0.25">
      <c r="A68" s="3" t="s">
        <v>184</v>
      </c>
      <c r="B68" s="3">
        <v>19190.505945397399</v>
      </c>
    </row>
    <row r="69" spans="1:4" x14ac:dyDescent="0.25">
      <c r="A69" s="3" t="s">
        <v>183</v>
      </c>
      <c r="B69" s="3">
        <v>19816.598007058201</v>
      </c>
    </row>
    <row r="70" spans="1:4" x14ac:dyDescent="0.25">
      <c r="A70" s="3" t="s">
        <v>182</v>
      </c>
      <c r="B70" s="3">
        <v>19859.962239060402</v>
      </c>
    </row>
    <row r="71" spans="1:4" x14ac:dyDescent="0.25">
      <c r="A71" s="3" t="s">
        <v>181</v>
      </c>
      <c r="B71" s="3">
        <v>20005.616470770899</v>
      </c>
    </row>
    <row r="72" spans="1:4" x14ac:dyDescent="0.25">
      <c r="A72" s="3" t="s">
        <v>180</v>
      </c>
      <c r="B72" s="3">
        <v>20129.1363232031</v>
      </c>
    </row>
    <row r="73" spans="1:4" x14ac:dyDescent="0.25">
      <c r="A73" s="3" t="s">
        <v>179</v>
      </c>
      <c r="B73" s="3">
        <v>20198.423150235099</v>
      </c>
    </row>
    <row r="74" spans="1:4" x14ac:dyDescent="0.25">
      <c r="A74" s="3" t="s">
        <v>178</v>
      </c>
      <c r="B74" s="3">
        <v>20645.745536395101</v>
      </c>
    </row>
    <row r="75" spans="1:4" x14ac:dyDescent="0.25">
      <c r="A75" s="3" t="s">
        <v>177</v>
      </c>
      <c r="B75" s="3">
        <v>20711.164637618</v>
      </c>
      <c r="D75" s="14"/>
    </row>
    <row r="76" spans="1:4" x14ac:dyDescent="0.25">
      <c r="A76" s="3" t="s">
        <v>176</v>
      </c>
      <c r="B76" s="3">
        <v>20589.199667624998</v>
      </c>
    </row>
    <row r="77" spans="1:4" x14ac:dyDescent="0.25">
      <c r="A77" s="3" t="s">
        <v>175</v>
      </c>
      <c r="B77" s="3">
        <v>20429.013031699102</v>
      </c>
      <c r="D77" s="3">
        <f>AVERAGE(B75:B77)</f>
        <v>20576.459112314031</v>
      </c>
    </row>
    <row r="78" spans="1:4" x14ac:dyDescent="0.25">
      <c r="A78" s="3" t="s">
        <v>174</v>
      </c>
      <c r="B78" s="3">
        <v>20514.302237117001</v>
      </c>
    </row>
    <row r="79" spans="1:4" x14ac:dyDescent="0.25">
      <c r="A79" s="3" t="s">
        <v>173</v>
      </c>
      <c r="B79" s="3">
        <v>20725.307227245801</v>
      </c>
    </row>
    <row r="80" spans="1:4" x14ac:dyDescent="0.25">
      <c r="A80" s="3" t="s">
        <v>172</v>
      </c>
      <c r="B80" s="3">
        <v>21233.5526258682</v>
      </c>
      <c r="D80" s="3">
        <f>AVERAGE(B78:B80)</f>
        <v>20824.387363410333</v>
      </c>
    </row>
    <row r="81" spans="1:4" x14ac:dyDescent="0.25">
      <c r="A81" s="3" t="s">
        <v>171</v>
      </c>
      <c r="B81" s="3">
        <v>21600.685100456602</v>
      </c>
    </row>
    <row r="82" spans="1:4" x14ac:dyDescent="0.25">
      <c r="A82" s="3" t="s">
        <v>170</v>
      </c>
      <c r="B82" s="3">
        <v>21905.261277133399</v>
      </c>
    </row>
    <row r="83" spans="1:4" x14ac:dyDescent="0.25">
      <c r="A83" s="3" t="s">
        <v>169</v>
      </c>
      <c r="B83" s="3">
        <v>22025.172060708701</v>
      </c>
      <c r="D83" s="3">
        <f>AVERAGE(B81:B83)</f>
        <v>21843.706146099565</v>
      </c>
    </row>
    <row r="84" spans="1:4" x14ac:dyDescent="0.25">
      <c r="A84" s="3" t="s">
        <v>168</v>
      </c>
      <c r="B84" s="3">
        <v>22642.505741221299</v>
      </c>
    </row>
    <row r="85" spans="1:4" x14ac:dyDescent="0.25">
      <c r="A85" s="3" t="s">
        <v>167</v>
      </c>
      <c r="B85" s="3">
        <v>22738.124522722301</v>
      </c>
    </row>
    <row r="86" spans="1:4" x14ac:dyDescent="0.25">
      <c r="A86" s="3" t="s">
        <v>166</v>
      </c>
      <c r="B86" s="3">
        <v>21825.116847717502</v>
      </c>
      <c r="D86" s="3">
        <f>AVERAGE(B84:B86)</f>
        <v>22401.915703887033</v>
      </c>
    </row>
    <row r="87" spans="1:4" x14ac:dyDescent="0.25">
      <c r="A87" s="3" t="s">
        <v>165</v>
      </c>
      <c r="B87" s="3">
        <v>21896.128967775399</v>
      </c>
    </row>
    <row r="88" spans="1:4" x14ac:dyDescent="0.25">
      <c r="A88" s="3" t="s">
        <v>164</v>
      </c>
      <c r="B88" s="3">
        <v>21809.440048927001</v>
      </c>
    </row>
    <row r="89" spans="1:4" x14ac:dyDescent="0.25">
      <c r="A89" s="3" t="s">
        <v>163</v>
      </c>
      <c r="B89" s="3">
        <v>22215.455396192301</v>
      </c>
      <c r="D89" s="3">
        <f>AVERAGE(B87:B89)</f>
        <v>21973.674804298236</v>
      </c>
    </row>
    <row r="90" spans="1:4" x14ac:dyDescent="0.25">
      <c r="A90" s="3" t="s">
        <v>162</v>
      </c>
      <c r="B90" s="3">
        <v>22327.644437550502</v>
      </c>
    </row>
    <row r="91" spans="1:4" x14ac:dyDescent="0.25">
      <c r="A91" s="3" t="s">
        <v>161</v>
      </c>
      <c r="B91" s="3">
        <v>21936.091726963601</v>
      </c>
    </row>
    <row r="92" spans="1:4" x14ac:dyDescent="0.25">
      <c r="A92" s="3" t="s">
        <v>160</v>
      </c>
      <c r="B92" s="3">
        <v>22273.3974451822</v>
      </c>
      <c r="D92" s="3">
        <f>AVERAGE(B90:B92)</f>
        <v>22179.044536565434</v>
      </c>
    </row>
    <row r="93" spans="1:4" x14ac:dyDescent="0.25">
      <c r="A93" s="3" t="s">
        <v>159</v>
      </c>
      <c r="B93" s="3">
        <v>22307.4288456871</v>
      </c>
    </row>
    <row r="94" spans="1:4" x14ac:dyDescent="0.25">
      <c r="A94" s="3" t="s">
        <v>158</v>
      </c>
      <c r="B94" s="3">
        <v>22258.655835905302</v>
      </c>
    </row>
    <row r="95" spans="1:4" x14ac:dyDescent="0.25">
      <c r="A95" s="3" t="s">
        <v>157</v>
      </c>
      <c r="B95" s="3">
        <v>22803.524230064599</v>
      </c>
      <c r="D95" s="3">
        <f>AVERAGE(B93:B95)</f>
        <v>22456.53630388567</v>
      </c>
    </row>
    <row r="96" spans="1:4" x14ac:dyDescent="0.25">
      <c r="A96" s="3" t="s">
        <v>156</v>
      </c>
      <c r="B96" s="3">
        <v>22518.1253145794</v>
      </c>
    </row>
    <row r="97" spans="1:4" x14ac:dyDescent="0.25">
      <c r="A97" s="3" t="s">
        <v>155</v>
      </c>
      <c r="B97" s="3">
        <v>22976.3115458871</v>
      </c>
    </row>
    <row r="98" spans="1:4" x14ac:dyDescent="0.25">
      <c r="A98" s="3" t="s">
        <v>154</v>
      </c>
      <c r="B98" s="3">
        <v>22554.1587790542</v>
      </c>
      <c r="D98" s="3">
        <f>AVERAGE(B96:B98)</f>
        <v>22682.865213173569</v>
      </c>
    </row>
    <row r="99" spans="1:4" x14ac:dyDescent="0.25">
      <c r="A99" s="3" t="s">
        <v>153</v>
      </c>
      <c r="B99" s="3">
        <v>22051.0900888498</v>
      </c>
    </row>
    <row r="100" spans="1:4" x14ac:dyDescent="0.25">
      <c r="A100" s="3" t="s">
        <v>152</v>
      </c>
      <c r="B100" s="3">
        <v>22177.3123396394</v>
      </c>
    </row>
    <row r="101" spans="1:4" x14ac:dyDescent="0.25">
      <c r="A101" s="3" t="s">
        <v>151</v>
      </c>
      <c r="B101" s="3">
        <v>21740.671823911998</v>
      </c>
      <c r="D101" s="3">
        <f>AVERAGE(B99:B101)</f>
        <v>21989.691417467067</v>
      </c>
    </row>
    <row r="102" spans="1:4" x14ac:dyDescent="0.25">
      <c r="A102" s="3" t="s">
        <v>150</v>
      </c>
      <c r="B102" s="3">
        <v>21853.255360553201</v>
      </c>
    </row>
    <row r="103" spans="1:4" x14ac:dyDescent="0.25">
      <c r="A103" s="3" t="s">
        <v>149</v>
      </c>
      <c r="B103" s="3">
        <v>22274.972852081701</v>
      </c>
    </row>
    <row r="104" spans="1:4" x14ac:dyDescent="0.25">
      <c r="A104" s="3" t="s">
        <v>148</v>
      </c>
      <c r="B104" s="3">
        <v>22381.042181765701</v>
      </c>
      <c r="D104" s="3">
        <f>AVERAGE(B102:B104)</f>
        <v>22169.756798133534</v>
      </c>
    </row>
    <row r="105" spans="1:4" x14ac:dyDescent="0.25">
      <c r="A105" s="3" t="s">
        <v>147</v>
      </c>
      <c r="B105" s="3">
        <v>22896.177787690202</v>
      </c>
    </row>
    <row r="106" spans="1:4" x14ac:dyDescent="0.25">
      <c r="A106" s="3" t="s">
        <v>146</v>
      </c>
      <c r="B106" s="3">
        <v>22788.760085787399</v>
      </c>
    </row>
    <row r="107" spans="1:4" x14ac:dyDescent="0.25">
      <c r="A107" s="3" t="s">
        <v>145</v>
      </c>
      <c r="B107" s="3">
        <v>22773.245599091399</v>
      </c>
      <c r="D107" s="3">
        <f>AVERAGE(B105:B107)</f>
        <v>22819.394490856332</v>
      </c>
    </row>
    <row r="108" spans="1:4" x14ac:dyDescent="0.25">
      <c r="A108" s="3" t="s">
        <v>144</v>
      </c>
      <c r="B108" s="3">
        <v>23271.493038264201</v>
      </c>
    </row>
    <row r="109" spans="1:4" x14ac:dyDescent="0.25">
      <c r="A109" s="3" t="s">
        <v>143</v>
      </c>
      <c r="B109" s="3">
        <v>23531.796961614498</v>
      </c>
    </row>
    <row r="110" spans="1:4" x14ac:dyDescent="0.25">
      <c r="A110" s="3" t="s">
        <v>142</v>
      </c>
      <c r="B110" s="3">
        <v>23051.7917319111</v>
      </c>
      <c r="D110" s="3">
        <f>AVERAGE(B108:B110)</f>
        <v>23285.027243929933</v>
      </c>
    </row>
    <row r="111" spans="1:4" x14ac:dyDescent="0.25">
      <c r="A111" s="3" t="s">
        <v>141</v>
      </c>
      <c r="B111" s="3">
        <v>22962.907231382302</v>
      </c>
    </row>
    <row r="112" spans="1:4" x14ac:dyDescent="0.25">
      <c r="A112" s="3" t="s">
        <v>140</v>
      </c>
      <c r="B112" s="3">
        <v>23394.116795663002</v>
      </c>
    </row>
    <row r="113" spans="1:4" x14ac:dyDescent="0.25">
      <c r="A113" s="3" t="s">
        <v>139</v>
      </c>
      <c r="B113" s="3">
        <v>23436.878362386</v>
      </c>
      <c r="D113" s="3">
        <f>AVERAGE(B111:B113)</f>
        <v>23264.634129810438</v>
      </c>
    </row>
    <row r="114" spans="1:4" x14ac:dyDescent="0.25">
      <c r="A114" s="3" t="s">
        <v>138</v>
      </c>
      <c r="B114" s="3">
        <v>22836.0464200243</v>
      </c>
    </row>
    <row r="115" spans="1:4" x14ac:dyDescent="0.25">
      <c r="A115" s="3" t="s">
        <v>137</v>
      </c>
      <c r="B115" s="3">
        <v>22898.9804725504</v>
      </c>
    </row>
    <row r="116" spans="1:4" x14ac:dyDescent="0.25">
      <c r="A116" s="3" t="s">
        <v>136</v>
      </c>
      <c r="B116" s="3">
        <v>22524.7912283117</v>
      </c>
      <c r="D116" s="3">
        <f>AVERAGE(B114:B116)</f>
        <v>22753.272706962132</v>
      </c>
    </row>
    <row r="117" spans="1:4" x14ac:dyDescent="0.25">
      <c r="A117" s="3" t="s">
        <v>135</v>
      </c>
      <c r="B117" s="3">
        <v>22585.408279544201</v>
      </c>
    </row>
    <row r="118" spans="1:4" x14ac:dyDescent="0.25">
      <c r="A118" s="3" t="s">
        <v>134</v>
      </c>
      <c r="B118" s="3">
        <v>22684.2669179779</v>
      </c>
    </row>
    <row r="119" spans="1:4" x14ac:dyDescent="0.25">
      <c r="A119" s="3" t="s">
        <v>133</v>
      </c>
      <c r="B119" s="3">
        <v>23023.3666000025</v>
      </c>
      <c r="D119" s="3">
        <f>AVERAGE(B117:B119)</f>
        <v>22764.34726584153</v>
      </c>
    </row>
    <row r="120" spans="1:4" x14ac:dyDescent="0.25">
      <c r="A120" s="3" t="s">
        <v>132</v>
      </c>
      <c r="B120" s="3">
        <v>23221.0251098677</v>
      </c>
    </row>
    <row r="121" spans="1:4" x14ac:dyDescent="0.25">
      <c r="A121" s="3" t="s">
        <v>131</v>
      </c>
      <c r="B121" s="3">
        <v>23276.545095096</v>
      </c>
    </row>
    <row r="122" spans="1:4" x14ac:dyDescent="0.25">
      <c r="A122" s="3" t="s">
        <v>130</v>
      </c>
      <c r="B122" s="3">
        <v>22982.2588731904</v>
      </c>
      <c r="D122" s="3">
        <f>AVERAGE(B120:B122)</f>
        <v>23159.943026051365</v>
      </c>
    </row>
    <row r="123" spans="1:4" x14ac:dyDescent="0.25">
      <c r="A123" s="3" t="s">
        <v>129</v>
      </c>
      <c r="B123" s="3">
        <v>22121.531883620999</v>
      </c>
    </row>
    <row r="124" spans="1:4" x14ac:dyDescent="0.25">
      <c r="A124" s="3" t="s">
        <v>128</v>
      </c>
      <c r="B124" s="3">
        <v>22156.791399534301</v>
      </c>
    </row>
    <row r="125" spans="1:4" x14ac:dyDescent="0.25">
      <c r="A125" s="3" t="s">
        <v>127</v>
      </c>
      <c r="B125" s="3">
        <v>22049.797328471399</v>
      </c>
      <c r="D125" s="3">
        <f>AVERAGE(B123:B125)</f>
        <v>22109.3735372089</v>
      </c>
    </row>
    <row r="126" spans="1:4" x14ac:dyDescent="0.25">
      <c r="A126" s="3" t="s">
        <v>126</v>
      </c>
      <c r="B126" s="3">
        <v>21935.611474437599</v>
      </c>
    </row>
    <row r="127" spans="1:4" x14ac:dyDescent="0.25">
      <c r="A127" s="3" t="s">
        <v>125</v>
      </c>
      <c r="B127" s="3">
        <v>21909.736203037799</v>
      </c>
    </row>
    <row r="128" spans="1:4" x14ac:dyDescent="0.25">
      <c r="A128" s="3" t="s">
        <v>124</v>
      </c>
      <c r="B128" s="3">
        <v>21810.431579742501</v>
      </c>
      <c r="D128" s="3">
        <f>AVERAGE(B126:B128)</f>
        <v>21885.259752405964</v>
      </c>
    </row>
    <row r="129" spans="1:4" x14ac:dyDescent="0.25">
      <c r="A129" s="3" t="s">
        <v>123</v>
      </c>
      <c r="B129" s="3">
        <v>21778.284106662799</v>
      </c>
    </row>
    <row r="130" spans="1:4" x14ac:dyDescent="0.25">
      <c r="A130" s="3" t="s">
        <v>122</v>
      </c>
      <c r="B130" s="3">
        <v>21506.588509538899</v>
      </c>
    </row>
    <row r="131" spans="1:4" x14ac:dyDescent="0.25">
      <c r="A131" s="3" t="s">
        <v>121</v>
      </c>
      <c r="B131" s="3">
        <v>21531.871672440098</v>
      </c>
      <c r="D131" s="3">
        <f>AVERAGE(B129:B131)</f>
        <v>21605.581429547266</v>
      </c>
    </row>
    <row r="132" spans="1:4" x14ac:dyDescent="0.25">
      <c r="A132" s="3" t="s">
        <v>120</v>
      </c>
      <c r="B132" s="3">
        <v>21457.0361967358</v>
      </c>
    </row>
    <row r="133" spans="1:4" x14ac:dyDescent="0.25">
      <c r="A133" s="3" t="s">
        <v>119</v>
      </c>
      <c r="B133" s="3">
        <v>21013.682121489299</v>
      </c>
    </row>
    <row r="134" spans="1:4" x14ac:dyDescent="0.25">
      <c r="A134" s="3" t="s">
        <v>118</v>
      </c>
      <c r="B134" s="3">
        <v>21269.286799709698</v>
      </c>
      <c r="D134" s="3">
        <f>AVERAGE(B132:B134)</f>
        <v>21246.668372644934</v>
      </c>
    </row>
    <row r="135" spans="1:4" x14ac:dyDescent="0.25">
      <c r="A135" s="3" t="s">
        <v>117</v>
      </c>
      <c r="B135" s="3">
        <v>21231.934378523099</v>
      </c>
    </row>
    <row r="136" spans="1:4" x14ac:dyDescent="0.25">
      <c r="A136" s="3" t="s">
        <v>116</v>
      </c>
      <c r="B136" s="3">
        <v>21230.742193458798</v>
      </c>
    </row>
    <row r="137" spans="1:4" x14ac:dyDescent="0.25">
      <c r="A137" s="3" t="s">
        <v>115</v>
      </c>
      <c r="B137" s="3">
        <v>21377.464296895301</v>
      </c>
      <c r="D137" s="3">
        <f>AVERAGE(B135:B137)</f>
        <v>21280.046956292397</v>
      </c>
    </row>
    <row r="138" spans="1:4" x14ac:dyDescent="0.25">
      <c r="A138" s="3" t="s">
        <v>114</v>
      </c>
      <c r="B138" s="3">
        <v>21342.330359467898</v>
      </c>
    </row>
    <row r="139" spans="1:4" x14ac:dyDescent="0.25">
      <c r="A139" s="3" t="s">
        <v>113</v>
      </c>
      <c r="B139" s="3">
        <v>21155.633222447199</v>
      </c>
    </row>
    <row r="140" spans="1:4" x14ac:dyDescent="0.25">
      <c r="A140" s="3" t="s">
        <v>112</v>
      </c>
      <c r="B140" s="3">
        <v>20725.3543449012</v>
      </c>
      <c r="D140" s="3">
        <f>AVERAGE(B138:B140)</f>
        <v>21074.439308938767</v>
      </c>
    </row>
    <row r="141" spans="1:4" x14ac:dyDescent="0.25">
      <c r="A141" s="3" t="s">
        <v>111</v>
      </c>
      <c r="B141" s="3">
        <v>20435.8297365935</v>
      </c>
    </row>
    <row r="142" spans="1:4" x14ac:dyDescent="0.25">
      <c r="A142" s="3" t="s">
        <v>110</v>
      </c>
      <c r="B142" s="3">
        <v>20423.633657716899</v>
      </c>
    </row>
    <row r="143" spans="1:4" x14ac:dyDescent="0.25">
      <c r="A143" s="3" t="s">
        <v>109</v>
      </c>
      <c r="B143" s="3">
        <v>20222.6770654055</v>
      </c>
      <c r="D143" s="3">
        <f>AVERAGE(B141:B143)</f>
        <v>20360.713486571967</v>
      </c>
    </row>
    <row r="144" spans="1:4" x14ac:dyDescent="0.25">
      <c r="A144" s="3" t="s">
        <v>108</v>
      </c>
      <c r="B144" s="3">
        <v>19954.1516732075</v>
      </c>
    </row>
    <row r="145" spans="1:4" x14ac:dyDescent="0.25">
      <c r="A145" s="3" t="s">
        <v>107</v>
      </c>
      <c r="B145" s="3">
        <v>19784.455784406</v>
      </c>
    </row>
    <row r="146" spans="1:4" x14ac:dyDescent="0.25">
      <c r="A146" s="3" t="s">
        <v>106</v>
      </c>
      <c r="B146" s="3">
        <v>19424.9734779092</v>
      </c>
      <c r="D146" s="3">
        <f>AVERAGE(B144:B146)</f>
        <v>19721.193645174233</v>
      </c>
    </row>
    <row r="147" spans="1:4" x14ac:dyDescent="0.25">
      <c r="A147" s="3" t="s">
        <v>105</v>
      </c>
      <c r="B147" s="3">
        <v>19260.970622639601</v>
      </c>
    </row>
    <row r="148" spans="1:4" x14ac:dyDescent="0.25">
      <c r="A148" s="3" t="s">
        <v>104</v>
      </c>
      <c r="B148" s="3">
        <v>19128.038336050598</v>
      </c>
    </row>
    <row r="149" spans="1:4" x14ac:dyDescent="0.25">
      <c r="A149" s="3" t="s">
        <v>103</v>
      </c>
      <c r="B149" s="3">
        <v>18935.919805336001</v>
      </c>
      <c r="D149" s="3">
        <f>AVERAGE(B147:B149)</f>
        <v>19108.309588008735</v>
      </c>
    </row>
    <row r="150" spans="1:4" x14ac:dyDescent="0.25">
      <c r="A150" s="3" t="s">
        <v>102</v>
      </c>
      <c r="B150" s="3">
        <v>18943.303228411402</v>
      </c>
    </row>
    <row r="151" spans="1:4" x14ac:dyDescent="0.25">
      <c r="A151" s="3" t="s">
        <v>101</v>
      </c>
      <c r="B151" s="3">
        <v>18615.7462317676</v>
      </c>
    </row>
    <row r="152" spans="1:4" x14ac:dyDescent="0.25">
      <c r="A152" s="3" t="s">
        <v>100</v>
      </c>
      <c r="B152" s="3">
        <v>18518.1989515655</v>
      </c>
      <c r="D152" s="3">
        <f>AVERAGE(B150:B152)</f>
        <v>18692.416137248165</v>
      </c>
    </row>
    <row r="153" spans="1:4" x14ac:dyDescent="0.25">
      <c r="A153" s="3" t="s">
        <v>99</v>
      </c>
      <c r="B153" s="3">
        <v>18217.285957503798</v>
      </c>
    </row>
    <row r="154" spans="1:4" x14ac:dyDescent="0.25">
      <c r="A154" s="3" t="s">
        <v>98</v>
      </c>
      <c r="B154" s="3">
        <v>17897.966681784601</v>
      </c>
    </row>
    <row r="155" spans="1:4" x14ac:dyDescent="0.25">
      <c r="A155" s="3" t="s">
        <v>97</v>
      </c>
      <c r="B155" s="3">
        <v>17895.880902798999</v>
      </c>
      <c r="D155" s="3">
        <f>AVERAGE(B153:B155)</f>
        <v>18003.711180695802</v>
      </c>
    </row>
    <row r="156" spans="1:4" x14ac:dyDescent="0.25">
      <c r="A156" s="3" t="s">
        <v>96</v>
      </c>
      <c r="B156" s="3">
        <v>17419.8971551061</v>
      </c>
    </row>
    <row r="157" spans="1:4" x14ac:dyDescent="0.25">
      <c r="A157" s="3" t="s">
        <v>95</v>
      </c>
      <c r="B157" s="3">
        <v>16891.644447593499</v>
      </c>
    </row>
    <row r="158" spans="1:4" x14ac:dyDescent="0.25">
      <c r="A158" s="3" t="s">
        <v>94</v>
      </c>
      <c r="B158" s="3">
        <v>16725.496561308999</v>
      </c>
      <c r="D158" s="3">
        <f>AVERAGE(B156:B158)</f>
        <v>17012.346054669531</v>
      </c>
    </row>
    <row r="159" spans="1:4" x14ac:dyDescent="0.25">
      <c r="A159" s="3" t="s">
        <v>93</v>
      </c>
      <c r="B159" s="3">
        <v>16544.8885428293</v>
      </c>
    </row>
    <row r="160" spans="1:4" x14ac:dyDescent="0.25">
      <c r="A160" s="3" t="s">
        <v>92</v>
      </c>
      <c r="B160" s="3">
        <v>16229.992330795099</v>
      </c>
    </row>
    <row r="161" spans="1:4" x14ac:dyDescent="0.25">
      <c r="A161" s="3" t="s">
        <v>91</v>
      </c>
      <c r="B161" s="3">
        <v>15978.303115589</v>
      </c>
      <c r="D161" s="3">
        <f>AVERAGE(B159:B161)</f>
        <v>16251.061329737799</v>
      </c>
    </row>
    <row r="162" spans="1:4" x14ac:dyDescent="0.25">
      <c r="A162" s="3" t="s">
        <v>90</v>
      </c>
      <c r="B162" s="3">
        <v>15643.581092942301</v>
      </c>
    </row>
    <row r="163" spans="1:4" x14ac:dyDescent="0.25">
      <c r="A163" s="3" t="s">
        <v>89</v>
      </c>
      <c r="B163" s="3">
        <v>15786.9196621793</v>
      </c>
    </row>
    <row r="164" spans="1:4" x14ac:dyDescent="0.25">
      <c r="A164" s="3" t="s">
        <v>88</v>
      </c>
      <c r="B164" s="3">
        <v>15331.675121337499</v>
      </c>
      <c r="D164" s="3">
        <f>AVERAGE(B162:B164)</f>
        <v>15587.3919588197</v>
      </c>
    </row>
    <row r="165" spans="1:4" x14ac:dyDescent="0.25">
      <c r="A165" s="3" t="s">
        <v>87</v>
      </c>
      <c r="B165" s="3">
        <v>14791.619508547399</v>
      </c>
    </row>
    <row r="166" spans="1:4" x14ac:dyDescent="0.25">
      <c r="A166" s="3" t="s">
        <v>86</v>
      </c>
      <c r="B166" s="3">
        <v>14764.2000540921</v>
      </c>
    </row>
    <row r="167" spans="1:4" x14ac:dyDescent="0.25">
      <c r="A167" s="3" t="s">
        <v>85</v>
      </c>
      <c r="B167" s="3">
        <v>14736.3310860329</v>
      </c>
      <c r="D167" s="3">
        <f>AVERAGE(B165:B167)</f>
        <v>14764.050216224132</v>
      </c>
    </row>
    <row r="168" spans="1:4" x14ac:dyDescent="0.25">
      <c r="A168" s="3" t="s">
        <v>84</v>
      </c>
      <c r="B168" s="3">
        <v>14660.526781123001</v>
      </c>
    </row>
    <row r="169" spans="1:4" x14ac:dyDescent="0.25">
      <c r="A169" s="3" t="s">
        <v>83</v>
      </c>
      <c r="B169" s="3">
        <v>14568.1040091175</v>
      </c>
    </row>
    <row r="170" spans="1:4" x14ac:dyDescent="0.25">
      <c r="A170" s="3" t="s">
        <v>82</v>
      </c>
      <c r="B170" s="3">
        <v>14481.764838079</v>
      </c>
      <c r="D170" s="3">
        <f>AVERAGE(B168:B170)</f>
        <v>14570.131876106499</v>
      </c>
    </row>
    <row r="171" spans="1:4" x14ac:dyDescent="0.25">
      <c r="A171" s="3" t="s">
        <v>81</v>
      </c>
      <c r="B171" s="3">
        <v>14391.2418844777</v>
      </c>
    </row>
    <row r="172" spans="1:4" x14ac:dyDescent="0.25">
      <c r="A172" s="3" t="s">
        <v>80</v>
      </c>
      <c r="B172" s="3">
        <v>14220.6837381245</v>
      </c>
    </row>
    <row r="173" spans="1:4" x14ac:dyDescent="0.25">
      <c r="A173" s="3" t="s">
        <v>79</v>
      </c>
      <c r="B173" s="3">
        <v>14156.6001389389</v>
      </c>
      <c r="D173" s="3">
        <f>AVERAGE(B171:B173)</f>
        <v>14256.175253847034</v>
      </c>
    </row>
    <row r="174" spans="1:4" x14ac:dyDescent="0.25">
      <c r="A174" s="3" t="s">
        <v>78</v>
      </c>
      <c r="B174" s="3">
        <v>13991.9980583051</v>
      </c>
    </row>
    <row r="175" spans="1:4" x14ac:dyDescent="0.25">
      <c r="A175" s="3" t="s">
        <v>77</v>
      </c>
      <c r="B175" s="3">
        <v>13967.596901051</v>
      </c>
    </row>
    <row r="176" spans="1:4" x14ac:dyDescent="0.25">
      <c r="A176" s="3" t="s">
        <v>76</v>
      </c>
      <c r="B176" s="3">
        <v>13871.5779893462</v>
      </c>
      <c r="D176" s="3">
        <f>AVERAGE(B174:B176)</f>
        <v>13943.724316234102</v>
      </c>
    </row>
    <row r="177" spans="1:4" x14ac:dyDescent="0.25">
      <c r="A177" s="3" t="s">
        <v>75</v>
      </c>
      <c r="B177" s="3">
        <v>13755.684768553599</v>
      </c>
    </row>
    <row r="178" spans="1:4" x14ac:dyDescent="0.25">
      <c r="A178" s="3" t="s">
        <v>74</v>
      </c>
      <c r="B178" s="3">
        <v>13748.379810441</v>
      </c>
    </row>
    <row r="179" spans="1:4" x14ac:dyDescent="0.25">
      <c r="A179" s="3" t="s">
        <v>73</v>
      </c>
      <c r="B179" s="3">
        <v>13605.279928645799</v>
      </c>
      <c r="D179" s="3">
        <f>AVERAGE(B177:B179)</f>
        <v>13703.114835880135</v>
      </c>
    </row>
    <row r="180" spans="1:4" x14ac:dyDescent="0.25">
      <c r="A180" s="3" t="s">
        <v>72</v>
      </c>
      <c r="B180" s="3">
        <v>13297.540335716099</v>
      </c>
    </row>
    <row r="181" spans="1:4" x14ac:dyDescent="0.25">
      <c r="A181" s="3" t="s">
        <v>71</v>
      </c>
      <c r="B181" s="3">
        <v>13238.9259773717</v>
      </c>
    </row>
    <row r="182" spans="1:4" x14ac:dyDescent="0.25">
      <c r="A182" s="3" t="s">
        <v>70</v>
      </c>
      <c r="B182" s="3">
        <v>13256.193101155501</v>
      </c>
      <c r="D182" s="3">
        <f>AVERAGE(B180:B182)</f>
        <v>13264.219804747767</v>
      </c>
    </row>
  </sheetData>
  <hyperlinks>
    <hyperlink ref="I2" r:id="rId1" xr:uid="{95230AC8-E2B8-4BFB-B127-38ABC70B23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BD</vt:lpstr>
      <vt:lpstr>bd-tri</vt:lpstr>
      <vt:lpstr>Mensuales (2)</vt:lpstr>
      <vt:lpstr>PBI</vt:lpstr>
      <vt:lpstr>TIR</vt:lpstr>
      <vt:lpstr>Tasa de encaje</vt:lpstr>
      <vt:lpstr>Hoja1</vt:lpstr>
      <vt:lpstr>base mone</vt:lpstr>
      <vt:lpstr>Mensuales</vt:lpstr>
      <vt:lpstr>M1</vt:lpstr>
      <vt:lpstr>M2</vt:lpstr>
      <vt:lpstr>M3- Bonos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GONZALO SEBASTIAN MENDOZA HURTADO</cp:lastModifiedBy>
  <dcterms:created xsi:type="dcterms:W3CDTF">2025-10-10T23:39:28Z</dcterms:created>
  <dcterms:modified xsi:type="dcterms:W3CDTF">2025-11-11T00:42:00Z</dcterms:modified>
</cp:coreProperties>
</file>