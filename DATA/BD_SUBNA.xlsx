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eitor\Desktop\MODELOS ECONOMETRICOS\DATA\"/>
    </mc:Choice>
  </mc:AlternateContent>
  <xr:revisionPtr revIDLastSave="0" documentId="13_ncr:1_{DD55D335-8925-448D-BA10-AA582AAB68D6}" xr6:coauthVersionLast="47" xr6:coauthVersionMax="47" xr10:uidLastSave="{00000000-0000-0000-0000-000000000000}"/>
  <bookViews>
    <workbookView xWindow="8685" yWindow="0" windowWidth="18495" windowHeight="15585" xr2:uid="{66D934FB-75C9-48D1-8F66-592025DC4A00}"/>
  </bookViews>
  <sheets>
    <sheet name="base_subna" sheetId="2" r:id="rId1"/>
    <sheet name="Hoja1" sheetId="1" r:id="rId2"/>
    <sheet name="Hoja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" i="1"/>
  <c r="I2" i="1"/>
  <c r="J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Sebasteitor</author>
  </authors>
  <commentList>
    <comment ref="C1" authorId="0" shapeId="0" xr:uid="{D7852F29-77F3-4606-8F79-600A0F6A6ACD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ingresos recaudados directamente por la MML</t>
        </r>
      </text>
    </comment>
    <comment ref="D1" authorId="0" shapeId="0" xr:uid="{6E7C1824-F171-45EE-A3E9-DED9D89C298C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es la cuenta de adquision activos no financieros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Sebasteitor</author>
  </authors>
  <commentList>
    <comment ref="E1" authorId="0" shapeId="0" xr:uid="{B972F0C1-52E9-4E94-B864-0862052234A1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ingresos recaudados directamente por la MML</t>
        </r>
      </text>
    </comment>
    <comment ref="F1" authorId="0" shapeId="0" xr:uid="{8CD98C34-AC25-4ABE-B279-5767DAF1C723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es la cuenta de adquision activos no financieros </t>
        </r>
      </text>
    </comment>
    <comment ref="G1" authorId="0" shapeId="0" xr:uid="{F18C7EB2-C050-4306-95F1-7C8FBBD7CCE7}">
      <text>
        <r>
          <rPr>
            <b/>
            <sz val="9"/>
            <color indexed="81"/>
            <rFont val="Tahoma"/>
            <family val="2"/>
          </rPr>
          <t>Sebasteitor:</t>
        </r>
        <r>
          <rPr>
            <sz val="9"/>
            <color indexed="81"/>
            <rFont val="Tahoma"/>
            <family val="2"/>
          </rPr>
          <t xml:space="preserve">
LINK: https://www.inei.gob.pe/media/MenuRecursivo/publicaciones_digitales/Est/Lib0012/N53/anexo031.htm</t>
        </r>
      </text>
    </comment>
  </commentList>
</comments>
</file>

<file path=xl/sharedStrings.xml><?xml version="1.0" encoding="utf-8"?>
<sst xmlns="http://schemas.openxmlformats.org/spreadsheetml/2006/main" count="108" uniqueCount="58">
  <si>
    <t>2025Q4</t>
  </si>
  <si>
    <t>2025Q3</t>
  </si>
  <si>
    <t>2025Q2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</si>
  <si>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</si>
  <si>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</si>
  <si>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</si>
  <si>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</si>
  <si>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</si>
  <si>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</si>
  <si>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</si>
  <si>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</si>
  <si>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</si>
  <si>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</si>
  <si>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</si>
  <si>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</si>
  <si>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</si>
  <si>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</si>
  <si>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</si>
  <si>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</si>
  <si>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</si>
  <si>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</si>
  <si>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</si>
  <si>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</si>
  <si>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</si>
  <si>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</si>
  <si>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</si>
  <si>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</si>
  <si>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</si>
  <si>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</si>
  <si>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</si>
  <si>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</si>
  <si>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</si>
  <si>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</si>
  <si>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</si>
  <si>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</si>
  <si>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</si>
  <si>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2016Q4</t>
  </si>
  <si>
    <t>2016Q3</t>
  </si>
  <si>
    <t>2016Q2</t>
  </si>
  <si>
    <t>2016Q1</t>
  </si>
  <si>
    <t>2015Q4</t>
  </si>
  <si>
    <t>2015Q3</t>
  </si>
  <si>
    <t>2015Q2</t>
  </si>
  <si>
    <t>2015Q1</t>
  </si>
  <si>
    <t>elec_muni (Dummy)</t>
  </si>
  <si>
    <t>transf_corr_pc</t>
  </si>
  <si>
    <t>saldo_perc_pob</t>
  </si>
  <si>
    <t>transf_corr</t>
  </si>
  <si>
    <t>Ingresos_propios</t>
  </si>
  <si>
    <t>población</t>
  </si>
  <si>
    <t>Gastos_totales</t>
  </si>
  <si>
    <t>Ingresos_totales</t>
  </si>
  <si>
    <t>Año</t>
  </si>
  <si>
    <t>Gastos_capital</t>
  </si>
  <si>
    <t>Ingresos_propios_perc</t>
  </si>
  <si>
    <t>gasto_cap_perc</t>
  </si>
  <si>
    <t>Saldo</t>
  </si>
  <si>
    <t>tras_corr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</si>
</sst>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3" fontId="0" fillId="2" borderId="0" xfId="0" applyNumberFormat="1" applyFill="1"/>
    <xf numFmtId="164" fontId="0" fillId="3" borderId="0" xfId="1" applyNumberFormat="1" applyFont="1" applyFill="1"/>
    <xf numFmtId="3" fontId="0" fillId="3" borderId="0" xfId="0" applyNumberFormat="1" applyFill="1"/>
    <xf numFmtId="0" fontId="0" fillId="3" borderId="0" xfId="0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0" borderId="0" xfId="0" applyNumberFormat="1"/>
    <xf numFmtId="164" fontId="0" fillId="3" borderId="0" xfId="0" applyNumberFormat="1" applyFill="1"/>
    <xf numFmtId="0" fontId="2" fillId="0" borderId="0" xfId="0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3" fontId="0" fillId="0" borderId="0" xfId="0" applyNumberFormat="1" applyFill="1"/>
    <xf numFmtId="164" fontId="0" fillId="0" borderId="0" xfId="1" applyNumberFormat="1" applyFont="1" applyFill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401425</xdr:colOff>
      <xdr:row>56</xdr:row>
      <xdr:rowOff>23618</xdr:rowOff>
    </xdr:from>
    <xdr:ext cx="7889757" cy="1346584"/>
    <xdr:pic>
      <xdr:nvPicPr>
        <xdr:cNvPr id="2" name="Imagen 1">
          <a:extLst>
            <a:ext uri="{FF2B5EF4-FFF2-40B4-BE49-F238E27FC236}">
              <a16:creationId xmlns:a16="http://schemas.microsoft.com/office/drawing/2014/main" id="{E247EAEC-1B9D-48B5-BF2D-584268A4F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1147" y="10826656"/>
          <a:ext cx="7889757" cy="13465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63D8-B7C7-40AD-81AA-53CA4D18A9F3}">
  <sheetPr>
    <tabColor rgb="FFFFC000"/>
  </sheetPr>
  <dimension ref="A1:E45"/>
  <sheetViews>
    <sheetView tabSelected="1" workbookViewId="0">
      <selection activeCell="I15" sqref="I15"/>
    </sheetView>
  </sheetViews>
  <sheetFormatPr baseColWidth="10" defaultRowHeight="15" x14ac:dyDescent="0.25"/>
  <cols>
    <col min="2" max="2" width="15" style="18" bestFit="1" customWidth="1"/>
    <col min="3" max="3" width="21.85546875" style="19" bestFit="1" customWidth="1"/>
    <col min="4" max="4" width="16.7109375" style="19" customWidth="1"/>
    <col min="5" max="5" width="13.7109375" bestFit="1" customWidth="1"/>
  </cols>
  <sheetData>
    <row r="1" spans="1:5" x14ac:dyDescent="0.25">
      <c r="A1" s="9" t="s">
        <v>52</v>
      </c>
      <c r="B1" s="16" t="s">
        <v>46</v>
      </c>
      <c r="C1" s="15" t="s">
        <v>54</v>
      </c>
      <c r="D1" s="15" t="s">
        <v>55</v>
      </c>
      <c r="E1" s="15" t="s">
        <v>45</v>
      </c>
    </row>
    <row r="2" spans="1:5" x14ac:dyDescent="0.25">
      <c r="A2" t="s">
        <v>43</v>
      </c>
      <c r="B2" s="18">
        <v>106089.02146523738</v>
      </c>
      <c r="C2" s="17">
        <v>33151.598279918428</v>
      </c>
      <c r="D2" s="17">
        <v>2333.6053006684529</v>
      </c>
      <c r="E2" s="1">
        <v>7628.9780813746338</v>
      </c>
    </row>
    <row r="3" spans="1:5" x14ac:dyDescent="0.25">
      <c r="A3" t="s">
        <v>42</v>
      </c>
      <c r="B3" s="18">
        <v>-1193.1659725117715</v>
      </c>
      <c r="C3" s="17">
        <v>9606.0133690545463</v>
      </c>
      <c r="D3" s="17">
        <v>10799.17934156632</v>
      </c>
      <c r="E3" s="1">
        <v>10530.814564532622</v>
      </c>
    </row>
    <row r="4" spans="1:5" x14ac:dyDescent="0.25">
      <c r="A4" t="s">
        <v>41</v>
      </c>
      <c r="B4" s="18">
        <v>1622.1306791590548</v>
      </c>
      <c r="C4" s="17">
        <v>9418.6970397342848</v>
      </c>
      <c r="D4" s="17">
        <v>7796.5663605752316</v>
      </c>
      <c r="E4" s="1">
        <v>7465.3351285577482</v>
      </c>
    </row>
    <row r="5" spans="1:5" x14ac:dyDescent="0.25">
      <c r="A5" t="s">
        <v>40</v>
      </c>
      <c r="B5" s="18">
        <v>4257.1600064669974</v>
      </c>
      <c r="C5" s="17">
        <v>10102.867689909674</v>
      </c>
      <c r="D5" s="17">
        <v>5845.7076834426771</v>
      </c>
      <c r="E5" s="1">
        <v>9842.8537173560107</v>
      </c>
    </row>
    <row r="6" spans="1:5" x14ac:dyDescent="0.25">
      <c r="A6" t="s">
        <v>39</v>
      </c>
      <c r="B6" s="18">
        <v>31161.599543208333</v>
      </c>
      <c r="C6" s="17">
        <v>43775.278398331669</v>
      </c>
      <c r="D6" s="17">
        <v>12613.67885512334</v>
      </c>
      <c r="E6" s="1">
        <v>8338.4869670591142</v>
      </c>
    </row>
    <row r="7" spans="1:5" x14ac:dyDescent="0.25">
      <c r="A7" t="s">
        <v>38</v>
      </c>
      <c r="B7" s="18">
        <v>4204.0164109868265</v>
      </c>
      <c r="C7" s="17">
        <v>9989.2572357165882</v>
      </c>
      <c r="D7" s="17">
        <v>5785.2408247297617</v>
      </c>
      <c r="E7" s="1">
        <v>8936.8261226534505</v>
      </c>
    </row>
    <row r="8" spans="1:5" x14ac:dyDescent="0.25">
      <c r="A8" t="s">
        <v>37</v>
      </c>
      <c r="B8" s="18">
        <v>4191.661697508177</v>
      </c>
      <c r="C8" s="17">
        <v>10129.807292651907</v>
      </c>
      <c r="D8" s="17">
        <v>5938.1455951437301</v>
      </c>
      <c r="E8" s="1">
        <v>8597.6231822207337</v>
      </c>
    </row>
    <row r="9" spans="1:5" x14ac:dyDescent="0.25">
      <c r="A9" t="s">
        <v>36</v>
      </c>
      <c r="B9" s="18">
        <v>2346.8864267463132</v>
      </c>
      <c r="C9" s="17">
        <v>9246.1396020440425</v>
      </c>
      <c r="D9" s="17">
        <v>6899.2531752977293</v>
      </c>
      <c r="E9" s="1">
        <v>18006.138628939898</v>
      </c>
    </row>
    <row r="10" spans="1:5" x14ac:dyDescent="0.25">
      <c r="A10" t="s">
        <v>35</v>
      </c>
      <c r="B10" s="18">
        <v>40268.20310210764</v>
      </c>
      <c r="C10" s="17">
        <v>46229.209117243998</v>
      </c>
      <c r="D10" s="17">
        <v>5961.0060151363514</v>
      </c>
      <c r="E10" s="1">
        <v>0</v>
      </c>
    </row>
    <row r="11" spans="1:5" x14ac:dyDescent="0.25">
      <c r="A11" t="s">
        <v>34</v>
      </c>
      <c r="B11" s="18">
        <v>-1643.3254764992075</v>
      </c>
      <c r="C11" s="17">
        <v>11604.406001739806</v>
      </c>
      <c r="D11" s="17">
        <v>13247.731478239013</v>
      </c>
      <c r="E11" s="1">
        <v>11823.838149653382</v>
      </c>
    </row>
    <row r="12" spans="1:5" x14ac:dyDescent="0.25">
      <c r="A12" t="s">
        <v>33</v>
      </c>
      <c r="B12" s="18">
        <v>-4578.6585606655153</v>
      </c>
      <c r="C12" s="17">
        <v>9900.6474851694347</v>
      </c>
      <c r="D12" s="17">
        <v>14479.306045834952</v>
      </c>
      <c r="E12" s="1">
        <v>21794.032144291708</v>
      </c>
    </row>
    <row r="13" spans="1:5" x14ac:dyDescent="0.25">
      <c r="A13" t="s">
        <v>32</v>
      </c>
      <c r="B13" s="18">
        <v>19345.643864392918</v>
      </c>
      <c r="C13" s="17">
        <v>9951.0835165540066</v>
      </c>
      <c r="D13" s="17">
        <v>-9394.5603478389112</v>
      </c>
      <c r="E13" s="1">
        <v>37929.795227033268</v>
      </c>
    </row>
    <row r="14" spans="1:5" x14ac:dyDescent="0.25">
      <c r="A14" t="s">
        <v>31</v>
      </c>
      <c r="B14" s="18">
        <v>-3081.5628183452386</v>
      </c>
      <c r="C14" s="17">
        <v>45601.828912145931</v>
      </c>
      <c r="D14" s="17">
        <v>48683.391730491174</v>
      </c>
      <c r="E14" s="1">
        <v>35356.821907323392</v>
      </c>
    </row>
    <row r="15" spans="1:5" x14ac:dyDescent="0.25">
      <c r="A15" t="s">
        <v>30</v>
      </c>
      <c r="B15" s="18">
        <v>-79490.550089663026</v>
      </c>
      <c r="C15" s="17">
        <v>11421.080163053855</v>
      </c>
      <c r="D15" s="17">
        <v>90911.630252716888</v>
      </c>
      <c r="E15" s="1">
        <v>5473.625059482627</v>
      </c>
    </row>
    <row r="16" spans="1:5" x14ac:dyDescent="0.25">
      <c r="A16" t="s">
        <v>29</v>
      </c>
      <c r="B16" s="18">
        <v>23049.777222424767</v>
      </c>
      <c r="C16" s="17">
        <v>11721.420029494218</v>
      </c>
      <c r="D16" s="17">
        <v>-11328.357192930553</v>
      </c>
      <c r="E16" s="1">
        <v>4090.8298898319558</v>
      </c>
    </row>
    <row r="17" spans="1:5" x14ac:dyDescent="0.25">
      <c r="A17" t="s">
        <v>28</v>
      </c>
      <c r="B17" s="18">
        <v>20358.944299824296</v>
      </c>
      <c r="C17" s="17">
        <v>11567.159240638401</v>
      </c>
      <c r="D17" s="17">
        <v>-8791.7850591858969</v>
      </c>
      <c r="E17" s="1">
        <v>4957.375420305716</v>
      </c>
    </row>
    <row r="18" spans="1:5" x14ac:dyDescent="0.25">
      <c r="A18" t="s">
        <v>27</v>
      </c>
      <c r="B18" s="18">
        <v>-1049.5715832644414</v>
      </c>
      <c r="C18" s="17">
        <v>19984.516080327783</v>
      </c>
      <c r="D18" s="17">
        <v>21034.087663592225</v>
      </c>
      <c r="E18" s="1">
        <v>4338.3785292207249</v>
      </c>
    </row>
    <row r="19" spans="1:5" x14ac:dyDescent="0.25">
      <c r="A19" t="s">
        <v>26</v>
      </c>
      <c r="B19" s="18">
        <v>19403.539524501171</v>
      </c>
      <c r="C19" s="17">
        <v>20039.140932316681</v>
      </c>
      <c r="D19" s="17">
        <v>635.6014078155099</v>
      </c>
      <c r="E19" s="1">
        <v>5286.0128715932351</v>
      </c>
    </row>
    <row r="20" spans="1:5" x14ac:dyDescent="0.25">
      <c r="A20" t="s">
        <v>25</v>
      </c>
      <c r="B20" s="18">
        <v>5033.4000542407375</v>
      </c>
      <c r="C20" s="17">
        <v>13562.597651328058</v>
      </c>
      <c r="D20" s="17">
        <v>8529.1975970873191</v>
      </c>
      <c r="E20" s="1">
        <v>3972.2299859641726</v>
      </c>
    </row>
    <row r="21" spans="1:5" x14ac:dyDescent="0.25">
      <c r="A21" t="s">
        <v>24</v>
      </c>
      <c r="B21" s="18">
        <v>19737.036169146446</v>
      </c>
      <c r="C21" s="17">
        <v>13606.036278457024</v>
      </c>
      <c r="D21" s="17">
        <v>-6130.9998906894225</v>
      </c>
      <c r="E21" s="1">
        <v>4392.3822091253169</v>
      </c>
    </row>
    <row r="22" spans="1:5" x14ac:dyDescent="0.25">
      <c r="A22" t="s">
        <v>23</v>
      </c>
      <c r="B22" s="18">
        <v>14580.270692278205</v>
      </c>
      <c r="C22" s="17">
        <v>33020.785482682564</v>
      </c>
      <c r="D22" s="17">
        <v>17539.907851837692</v>
      </c>
      <c r="E22" s="1">
        <v>4235.3886861769479</v>
      </c>
    </row>
    <row r="23" spans="1:5" x14ac:dyDescent="0.25">
      <c r="A23" t="s">
        <v>22</v>
      </c>
      <c r="B23" s="18">
        <v>15512.187461117101</v>
      </c>
      <c r="C23" s="17">
        <v>19948.264787310196</v>
      </c>
      <c r="D23" s="17">
        <v>3477.9069358979646</v>
      </c>
      <c r="E23" s="1">
        <v>6967.067063991889</v>
      </c>
    </row>
    <row r="24" spans="1:5" x14ac:dyDescent="0.25">
      <c r="A24" t="s">
        <v>21</v>
      </c>
      <c r="B24" s="18">
        <v>23579.014418228602</v>
      </c>
      <c r="C24" s="17">
        <v>26766.584498276447</v>
      </c>
      <c r="D24" s="17">
        <v>1731.1208523345008</v>
      </c>
      <c r="E24" s="1">
        <v>5315.4782888164491</v>
      </c>
    </row>
    <row r="25" spans="1:5" x14ac:dyDescent="0.25">
      <c r="A25" t="s">
        <v>20</v>
      </c>
      <c r="B25" s="18">
        <v>-1539.9842326150608</v>
      </c>
      <c r="C25" s="17">
        <v>5645.1733925399567</v>
      </c>
      <c r="D25" s="17">
        <v>7280.2807209087132</v>
      </c>
      <c r="E25" s="1">
        <v>3687.2190991466027</v>
      </c>
    </row>
    <row r="26" spans="1:5" x14ac:dyDescent="0.25">
      <c r="A26" t="s">
        <v>19</v>
      </c>
      <c r="B26" s="18">
        <v>9803.7625341000785</v>
      </c>
      <c r="C26" s="17">
        <v>34036.691153545144</v>
      </c>
      <c r="D26" s="17">
        <v>23627.361223021722</v>
      </c>
      <c r="E26" s="1">
        <v>0</v>
      </c>
    </row>
    <row r="27" spans="1:5" x14ac:dyDescent="0.25">
      <c r="A27" t="s">
        <v>18</v>
      </c>
      <c r="B27" s="18">
        <v>-3887.1096953183524</v>
      </c>
      <c r="C27" s="17">
        <v>7059.3913168128174</v>
      </c>
      <c r="D27" s="17">
        <v>11186.603410533657</v>
      </c>
      <c r="E27" s="1">
        <v>5888.441282108477</v>
      </c>
    </row>
    <row r="28" spans="1:5" x14ac:dyDescent="0.25">
      <c r="A28" t="s">
        <v>17</v>
      </c>
      <c r="B28" s="18">
        <v>-4574.7522102953644</v>
      </c>
      <c r="C28" s="17">
        <v>10564.396912161643</v>
      </c>
      <c r="D28" s="17">
        <v>15421.72642638849</v>
      </c>
      <c r="E28" s="1">
        <v>5068.1755997200789</v>
      </c>
    </row>
    <row r="29" spans="1:5" x14ac:dyDescent="0.25">
      <c r="A29" t="s">
        <v>16</v>
      </c>
      <c r="B29" s="18">
        <v>-487.46166165386575</v>
      </c>
      <c r="C29" s="17">
        <v>10923.370012377623</v>
      </c>
      <c r="D29" s="17">
        <v>11440.941633169849</v>
      </c>
      <c r="E29" s="1">
        <v>5318.6762547765275</v>
      </c>
    </row>
    <row r="30" spans="1:5" x14ac:dyDescent="0.25">
      <c r="A30" t="s">
        <v>15</v>
      </c>
      <c r="B30" s="18">
        <v>1910.6795007248209</v>
      </c>
      <c r="C30" s="17">
        <v>16823.16232228031</v>
      </c>
      <c r="D30" s="17">
        <v>14794.462295596311</v>
      </c>
      <c r="E30" s="1">
        <v>7409.4216341138563</v>
      </c>
    </row>
    <row r="31" spans="1:5" x14ac:dyDescent="0.25">
      <c r="A31" t="s">
        <v>14</v>
      </c>
      <c r="B31" s="18">
        <v>-5761.0815813702793</v>
      </c>
      <c r="C31" s="17">
        <v>7110.1602981800552</v>
      </c>
      <c r="D31" s="17">
        <v>13227.097415797582</v>
      </c>
      <c r="E31" s="1">
        <v>7172.5296727574087</v>
      </c>
    </row>
    <row r="32" spans="1:5" x14ac:dyDescent="0.25">
      <c r="A32" t="s">
        <v>13</v>
      </c>
      <c r="B32" s="18">
        <v>-4228.435460526106</v>
      </c>
      <c r="C32" s="17">
        <v>7592.7292974820821</v>
      </c>
      <c r="D32" s="17">
        <v>12082.350465420875</v>
      </c>
      <c r="E32" s="1">
        <v>5814.1153131556157</v>
      </c>
    </row>
    <row r="33" spans="1:5" x14ac:dyDescent="0.25">
      <c r="A33" t="s">
        <v>12</v>
      </c>
      <c r="B33" s="18">
        <v>-1190.3378993951246</v>
      </c>
      <c r="C33" s="17">
        <v>9926.4556907064853</v>
      </c>
      <c r="D33" s="17">
        <v>11190.319424707812</v>
      </c>
      <c r="E33" s="1">
        <v>6435.927095212257</v>
      </c>
    </row>
    <row r="34" spans="1:5" x14ac:dyDescent="0.25">
      <c r="A34" t="s">
        <v>11</v>
      </c>
      <c r="B34" s="18">
        <v>7024.4835246444763</v>
      </c>
      <c r="C34" s="17">
        <v>17405.178092240239</v>
      </c>
      <c r="D34" s="17">
        <v>9946.8001128451706</v>
      </c>
      <c r="E34" s="1">
        <v>5540.5955706861441</v>
      </c>
    </row>
    <row r="35" spans="1:5" x14ac:dyDescent="0.25">
      <c r="A35" t="s">
        <v>10</v>
      </c>
      <c r="B35" s="18">
        <v>1154.9528298736564</v>
      </c>
      <c r="C35" s="17">
        <v>9477.1603075620005</v>
      </c>
      <c r="D35" s="17">
        <v>8250.8673390685381</v>
      </c>
      <c r="E35" s="1">
        <v>6323.6941587623387</v>
      </c>
    </row>
    <row r="36" spans="1:5" x14ac:dyDescent="0.25">
      <c r="A36" t="s">
        <v>9</v>
      </c>
      <c r="B36" s="18">
        <v>8285.9951489553478</v>
      </c>
      <c r="C36" s="17">
        <v>10734.731810534442</v>
      </c>
      <c r="D36" s="17">
        <v>1936.9200512036055</v>
      </c>
      <c r="E36" s="1">
        <v>5559.2749797616279</v>
      </c>
    </row>
    <row r="37" spans="1:5" x14ac:dyDescent="0.25">
      <c r="A37" t="s">
        <v>8</v>
      </c>
      <c r="B37" s="18">
        <v>6724.8950938732723</v>
      </c>
      <c r="C37" s="17">
        <v>9718.3854064051629</v>
      </c>
      <c r="D37" s="17">
        <v>2578.1010985385765</v>
      </c>
      <c r="E37" s="1">
        <v>5540.5955706861441</v>
      </c>
    </row>
    <row r="38" spans="1:5" x14ac:dyDescent="0.25">
      <c r="A38" t="s">
        <v>7</v>
      </c>
      <c r="B38" s="18">
        <v>5849.1436489320749</v>
      </c>
      <c r="C38" s="17">
        <v>19373.7034096391</v>
      </c>
      <c r="D38" s="17">
        <v>13163.264729491229</v>
      </c>
      <c r="E38" s="1">
        <v>0</v>
      </c>
    </row>
    <row r="39" spans="1:5" x14ac:dyDescent="0.25">
      <c r="A39" t="s">
        <v>6</v>
      </c>
      <c r="B39" s="18">
        <v>-1955.6405903409202</v>
      </c>
      <c r="C39" s="17">
        <v>14758.829229168425</v>
      </c>
      <c r="D39" s="17">
        <v>16835.267541456746</v>
      </c>
      <c r="E39" s="1">
        <v>6263.1451812843416</v>
      </c>
    </row>
    <row r="40" spans="1:5" x14ac:dyDescent="0.25">
      <c r="A40" t="s">
        <v>5</v>
      </c>
      <c r="B40" s="18">
        <v>-1944.2618935308001</v>
      </c>
      <c r="C40" s="17">
        <v>16943.264973858193</v>
      </c>
      <c r="D40" s="17">
        <v>19007.621740019298</v>
      </c>
      <c r="E40" s="1">
        <v>5185.9292785625103</v>
      </c>
    </row>
    <row r="41" spans="1:5" x14ac:dyDescent="0.25">
      <c r="A41" t="s">
        <v>4</v>
      </c>
      <c r="B41" s="18">
        <v>12585.270102003042</v>
      </c>
      <c r="C41" s="17">
        <v>9041.1065590492017</v>
      </c>
      <c r="D41" s="17">
        <v>-4321.5415366012612</v>
      </c>
      <c r="E41" s="1">
        <v>12728.593637830381</v>
      </c>
    </row>
    <row r="42" spans="1:5" x14ac:dyDescent="0.25">
      <c r="A42" s="3" t="s">
        <v>3</v>
      </c>
      <c r="B42" s="18">
        <v>-66110.082414558739</v>
      </c>
      <c r="C42" s="17">
        <v>14308.39492144366</v>
      </c>
      <c r="D42" s="17">
        <v>88485.464311405551</v>
      </c>
      <c r="E42" s="1">
        <v>0</v>
      </c>
    </row>
    <row r="43" spans="1:5" x14ac:dyDescent="0.25">
      <c r="A43" s="3" t="s">
        <v>2</v>
      </c>
      <c r="B43" s="18">
        <v>4557.7142064871468</v>
      </c>
      <c r="C43" s="17">
        <v>12197.955237645778</v>
      </c>
      <c r="D43" s="17">
        <v>7084.0925618406591</v>
      </c>
      <c r="E43" s="1">
        <v>17706.075968714282</v>
      </c>
    </row>
    <row r="44" spans="1:5" x14ac:dyDescent="0.25">
      <c r="A44" s="3" t="s">
        <v>1</v>
      </c>
      <c r="B44" s="18">
        <v>-36312.229972826652</v>
      </c>
      <c r="C44" s="17">
        <v>12938.64785651994</v>
      </c>
      <c r="D44" s="17">
        <v>53681.825054638924</v>
      </c>
      <c r="E44" s="1">
        <v>6609.5610766512564</v>
      </c>
    </row>
    <row r="45" spans="1:5" x14ac:dyDescent="0.25">
      <c r="A45" s="3" t="s">
        <v>0</v>
      </c>
      <c r="B45" s="18">
        <v>-13631.135346010084</v>
      </c>
      <c r="C45" s="17">
        <v>3909.0829453462384</v>
      </c>
      <c r="D45" s="17">
        <v>19203.537822659844</v>
      </c>
      <c r="E45" s="1">
        <v>1807.7917946352559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BD2A-BE67-4657-B49E-9CBA8947A13D}">
  <dimension ref="A1:O45"/>
  <sheetViews>
    <sheetView topLeftCell="B1" zoomScale="79" workbookViewId="0">
      <selection activeCell="L1" sqref="L1"/>
    </sheetView>
  </sheetViews>
  <sheetFormatPr baseColWidth="10" defaultRowHeight="15" x14ac:dyDescent="0.25"/>
  <cols>
    <col min="2" max="2" width="16.7109375" style="1" customWidth="1"/>
    <col min="3" max="3" width="18" style="1" bestFit="1" customWidth="1"/>
    <col min="4" max="4" width="15.140625" bestFit="1" customWidth="1"/>
    <col min="5" max="5" width="17.85546875" customWidth="1"/>
    <col min="6" max="6" width="16.7109375" customWidth="1"/>
    <col min="8" max="8" width="16.42578125" style="1" customWidth="1"/>
    <col min="9" max="9" width="21.85546875" style="19" bestFit="1" customWidth="1"/>
    <col min="10" max="10" width="18.7109375" style="19" customWidth="1"/>
    <col min="11" max="11" width="15" style="18" bestFit="1" customWidth="1"/>
    <col min="12" max="12" width="13.85546875" style="19" bestFit="1" customWidth="1"/>
    <col min="13" max="13" width="18.7109375" bestFit="1" customWidth="1"/>
    <col min="15" max="15" width="15.42578125" style="1" bestFit="1" customWidth="1"/>
  </cols>
  <sheetData>
    <row r="1" spans="1:15" s="9" customFormat="1" x14ac:dyDescent="0.25">
      <c r="A1" s="9" t="s">
        <v>52</v>
      </c>
      <c r="B1" s="11" t="s">
        <v>51</v>
      </c>
      <c r="C1" s="11" t="s">
        <v>50</v>
      </c>
      <c r="D1" s="9" t="s">
        <v>56</v>
      </c>
      <c r="E1" s="9" t="s">
        <v>48</v>
      </c>
      <c r="F1" s="9" t="s">
        <v>53</v>
      </c>
      <c r="G1" s="9" t="s">
        <v>49</v>
      </c>
      <c r="H1" s="11" t="s">
        <v>47</v>
      </c>
      <c r="I1" s="10" t="s">
        <v>54</v>
      </c>
      <c r="J1" s="10" t="s">
        <v>55</v>
      </c>
      <c r="K1" s="12" t="s">
        <v>46</v>
      </c>
      <c r="L1" s="10" t="s">
        <v>45</v>
      </c>
      <c r="M1" s="10" t="s">
        <v>44</v>
      </c>
      <c r="O1" s="16" t="s">
        <v>57</v>
      </c>
    </row>
    <row r="2" spans="1:15" x14ac:dyDescent="0.25">
      <c r="A2" t="s">
        <v>43</v>
      </c>
      <c r="B2" s="1">
        <v>1229788141</v>
      </c>
      <c r="C2" s="1">
        <v>257318670</v>
      </c>
      <c r="D2" s="13">
        <f>B2-C2</f>
        <v>972469471</v>
      </c>
      <c r="E2" s="2">
        <v>303885518</v>
      </c>
      <c r="F2" s="1">
        <v>21391091</v>
      </c>
      <c r="G2">
        <v>9166542</v>
      </c>
      <c r="H2" s="1">
        <v>578121979</v>
      </c>
      <c r="I2" s="7">
        <f>(E2/$G$2)*1000</f>
        <v>33151.598279918428</v>
      </c>
      <c r="J2" s="7">
        <f>(F2/$G$2)*1000</f>
        <v>2333.6053006684529</v>
      </c>
      <c r="K2" s="6">
        <f>(D2/G2)*1000</f>
        <v>106089.02146523738</v>
      </c>
      <c r="L2" s="14">
        <f>(O2/G2)*1000</f>
        <v>7628.9780813746338</v>
      </c>
      <c r="M2" s="8">
        <v>0</v>
      </c>
      <c r="O2" s="1">
        <v>69931348</v>
      </c>
    </row>
    <row r="3" spans="1:15" x14ac:dyDescent="0.25">
      <c r="A3" t="s">
        <v>42</v>
      </c>
      <c r="B3" s="1">
        <v>378370129</v>
      </c>
      <c r="C3" s="1">
        <v>400217403</v>
      </c>
      <c r="D3" s="13">
        <f t="shared" ref="D3:D45" si="0">B3-C3</f>
        <v>-21847274</v>
      </c>
      <c r="E3" s="2">
        <v>88053925</v>
      </c>
      <c r="F3" s="1">
        <v>98991131</v>
      </c>
      <c r="G3">
        <v>9166542</v>
      </c>
      <c r="H3" s="1">
        <v>208393057</v>
      </c>
      <c r="I3" s="7">
        <f>(E3/$G$2)*1000</f>
        <v>9606.0133690545463</v>
      </c>
      <c r="J3" s="7">
        <f>(F3/$G$2)*1000</f>
        <v>10799.17934156632</v>
      </c>
      <c r="K3" s="6">
        <f>((E3-F3)/G3)*1000</f>
        <v>-1193.1659725117715</v>
      </c>
      <c r="L3" s="14">
        <f t="shared" ref="L3:L45" si="1">(O3/G3)*1000</f>
        <v>10530.814564532622</v>
      </c>
      <c r="M3" s="8">
        <v>0</v>
      </c>
      <c r="O3" s="1">
        <v>96531154</v>
      </c>
    </row>
    <row r="4" spans="1:15" x14ac:dyDescent="0.25">
      <c r="A4" t="s">
        <v>41</v>
      </c>
      <c r="B4" s="1">
        <v>386965870</v>
      </c>
      <c r="C4" s="1">
        <v>341231128</v>
      </c>
      <c r="D4" s="13">
        <f t="shared" si="0"/>
        <v>45734742</v>
      </c>
      <c r="E4" s="2">
        <v>86336882</v>
      </c>
      <c r="F4" s="1">
        <v>71467553</v>
      </c>
      <c r="G4">
        <v>9166542</v>
      </c>
      <c r="H4" s="1">
        <v>217375773</v>
      </c>
      <c r="I4" s="7">
        <f>(E4/$G$2)*1000</f>
        <v>9418.6970397342848</v>
      </c>
      <c r="J4" s="7">
        <f>(F4/$G$2)*1000</f>
        <v>7796.5663605752316</v>
      </c>
      <c r="K4" s="6">
        <f>((E4-F4)/G4)*1000</f>
        <v>1622.1306791590548</v>
      </c>
      <c r="L4" s="14">
        <f t="shared" si="1"/>
        <v>7465.3351285577482</v>
      </c>
      <c r="M4" s="8">
        <v>0</v>
      </c>
      <c r="O4" s="1">
        <v>68431308</v>
      </c>
    </row>
    <row r="5" spans="1:15" x14ac:dyDescent="0.25">
      <c r="A5" t="s">
        <v>40</v>
      </c>
      <c r="B5" s="1">
        <v>394865262</v>
      </c>
      <c r="C5" s="1">
        <v>376403295</v>
      </c>
      <c r="D5" s="13">
        <f t="shared" si="0"/>
        <v>18461967</v>
      </c>
      <c r="E5" s="2">
        <v>92608361</v>
      </c>
      <c r="F5" s="1">
        <v>53584925</v>
      </c>
      <c r="G5">
        <v>9166542</v>
      </c>
      <c r="H5" s="1">
        <v>209880224</v>
      </c>
      <c r="I5" s="7">
        <f>(E5/$G$2)*1000</f>
        <v>10102.867689909674</v>
      </c>
      <c r="J5" s="7">
        <f>(F5/$G$2)*1000</f>
        <v>5845.7076834426771</v>
      </c>
      <c r="K5" s="6">
        <f>((E5-F5)/G5)*1000</f>
        <v>4257.1600064669974</v>
      </c>
      <c r="L5" s="14">
        <f t="shared" si="1"/>
        <v>9842.8537173560107</v>
      </c>
      <c r="M5" s="8">
        <v>0</v>
      </c>
      <c r="O5" s="1">
        <v>90224932</v>
      </c>
    </row>
    <row r="6" spans="1:15" x14ac:dyDescent="0.25">
      <c r="A6" t="s">
        <v>39</v>
      </c>
      <c r="B6" s="1">
        <v>1633281681</v>
      </c>
      <c r="C6" s="1">
        <v>389700660</v>
      </c>
      <c r="D6" s="13">
        <f t="shared" si="0"/>
        <v>1243581021</v>
      </c>
      <c r="E6" s="2">
        <v>401267928</v>
      </c>
      <c r="F6" s="1">
        <v>115623817</v>
      </c>
      <c r="G6">
        <v>9166542</v>
      </c>
      <c r="H6" s="1">
        <v>764591060</v>
      </c>
      <c r="I6" s="7">
        <f>(E6/$G$2)*1000</f>
        <v>43775.278398331669</v>
      </c>
      <c r="J6" s="7">
        <f>(F6/$G$2)*1000</f>
        <v>12613.67885512334</v>
      </c>
      <c r="K6" s="6">
        <f>((E6-F6)/G6)*1000</f>
        <v>31161.599543208333</v>
      </c>
      <c r="L6" s="14">
        <f t="shared" si="1"/>
        <v>8338.4869670591142</v>
      </c>
      <c r="M6" s="8">
        <v>0</v>
      </c>
      <c r="O6" s="1">
        <v>76435091</v>
      </c>
    </row>
    <row r="7" spans="1:15" x14ac:dyDescent="0.25">
      <c r="A7" t="s">
        <v>38</v>
      </c>
      <c r="B7" s="1">
        <v>358545139</v>
      </c>
      <c r="C7" s="1">
        <v>343306219</v>
      </c>
      <c r="D7" s="13">
        <f t="shared" si="0"/>
        <v>15238920</v>
      </c>
      <c r="E7" s="2">
        <v>91566946</v>
      </c>
      <c r="F7" s="1">
        <v>53030653</v>
      </c>
      <c r="G7">
        <v>9166542</v>
      </c>
      <c r="H7" s="1">
        <v>219122319</v>
      </c>
      <c r="I7" s="7">
        <f>(E7/$G$2)*1000</f>
        <v>9989.2572357165882</v>
      </c>
      <c r="J7" s="7">
        <f>(F7/$G$2)*1000</f>
        <v>5785.2408247297617</v>
      </c>
      <c r="K7" s="6">
        <f>((E7-F7)/G7)*1000</f>
        <v>4204.0164109868265</v>
      </c>
      <c r="L7" s="14">
        <f t="shared" si="1"/>
        <v>8936.8261226534505</v>
      </c>
      <c r="M7" s="8">
        <v>0</v>
      </c>
      <c r="O7" s="1">
        <v>81919792</v>
      </c>
    </row>
    <row r="8" spans="1:15" x14ac:dyDescent="0.25">
      <c r="A8" t="s">
        <v>37</v>
      </c>
      <c r="B8" s="1">
        <v>359806545</v>
      </c>
      <c r="C8" s="1">
        <v>352638529</v>
      </c>
      <c r="D8" s="13">
        <f t="shared" si="0"/>
        <v>7168016</v>
      </c>
      <c r="E8" s="2">
        <v>92855304</v>
      </c>
      <c r="F8" s="1">
        <v>54432261</v>
      </c>
      <c r="G8">
        <v>9166542</v>
      </c>
      <c r="H8" s="1">
        <v>212901636</v>
      </c>
      <c r="I8" s="7">
        <f>(E8/$G$2)*1000</f>
        <v>10129.807292651907</v>
      </c>
      <c r="J8" s="7">
        <f>(F8/$G$2)*1000</f>
        <v>5938.1455951437301</v>
      </c>
      <c r="K8" s="6">
        <f>((E8-F8)/G8)*1000</f>
        <v>4191.661697508177</v>
      </c>
      <c r="L8" s="14">
        <f t="shared" si="1"/>
        <v>8597.6231822207337</v>
      </c>
      <c r="M8" s="8">
        <v>0</v>
      </c>
      <c r="O8" s="1">
        <v>78810474</v>
      </c>
    </row>
    <row r="9" spans="1:15" x14ac:dyDescent="0.25">
      <c r="A9" t="s">
        <v>36</v>
      </c>
      <c r="B9" s="1">
        <v>436644010</v>
      </c>
      <c r="C9" s="1">
        <v>403294745</v>
      </c>
      <c r="D9" s="13">
        <f t="shared" si="0"/>
        <v>33349265</v>
      </c>
      <c r="E9" s="2">
        <v>84755127</v>
      </c>
      <c r="F9" s="1">
        <v>63242294</v>
      </c>
      <c r="G9">
        <v>9166542</v>
      </c>
      <c r="H9" s="1">
        <v>224660159</v>
      </c>
      <c r="I9" s="7">
        <f>(E9/$G$2)*1000</f>
        <v>9246.1396020440425</v>
      </c>
      <c r="J9" s="7">
        <f>(F9/$G$2)*1000</f>
        <v>6899.2531752977293</v>
      </c>
      <c r="K9" s="6">
        <f>((E9-F9)/G9)*1000</f>
        <v>2346.8864267463132</v>
      </c>
      <c r="L9" s="14">
        <f t="shared" si="1"/>
        <v>18006.138628939898</v>
      </c>
      <c r="M9" s="8">
        <v>0</v>
      </c>
      <c r="O9" s="1">
        <v>165054026</v>
      </c>
    </row>
    <row r="10" spans="1:15" x14ac:dyDescent="0.25">
      <c r="A10" t="s">
        <v>35</v>
      </c>
      <c r="B10" s="1">
        <v>1969265804</v>
      </c>
      <c r="C10" s="1">
        <v>282431997</v>
      </c>
      <c r="D10" s="13">
        <f t="shared" si="0"/>
        <v>1686833807</v>
      </c>
      <c r="E10" s="2">
        <v>423761987</v>
      </c>
      <c r="F10" s="1">
        <v>54641812</v>
      </c>
      <c r="G10">
        <v>9166542</v>
      </c>
      <c r="H10" s="1">
        <v>819221689</v>
      </c>
      <c r="I10" s="7">
        <f>(E10/$G$2)*1000</f>
        <v>46229.209117243998</v>
      </c>
      <c r="J10" s="7">
        <f>(F10/$G$2)*1000</f>
        <v>5961.0060151363514</v>
      </c>
      <c r="K10" s="6">
        <f>((E10-F10)/G10)*1000</f>
        <v>40268.20310210764</v>
      </c>
      <c r="L10" s="14">
        <f t="shared" si="1"/>
        <v>0</v>
      </c>
      <c r="M10" s="8">
        <v>0</v>
      </c>
      <c r="O10" s="1">
        <v>0</v>
      </c>
    </row>
    <row r="11" spans="1:15" x14ac:dyDescent="0.25">
      <c r="A11" t="s">
        <v>34</v>
      </c>
      <c r="B11" s="1">
        <v>451520537</v>
      </c>
      <c r="C11" s="1">
        <v>428452376</v>
      </c>
      <c r="D11" s="13">
        <f t="shared" si="0"/>
        <v>23068161</v>
      </c>
      <c r="E11" s="2">
        <v>106372275</v>
      </c>
      <c r="F11" s="1">
        <v>121435887</v>
      </c>
      <c r="G11">
        <v>9166542</v>
      </c>
      <c r="H11" s="1">
        <v>207694672</v>
      </c>
      <c r="I11" s="7">
        <f>(E11/$G$2)*1000</f>
        <v>11604.406001739806</v>
      </c>
      <c r="J11" s="7">
        <f>(F11/$G$2)*1000</f>
        <v>13247.731478239013</v>
      </c>
      <c r="K11" s="6">
        <f>((E11-F11)/G11)*1000</f>
        <v>-1643.3254764992075</v>
      </c>
      <c r="L11" s="14">
        <f t="shared" si="1"/>
        <v>11823.838149653382</v>
      </c>
      <c r="M11" s="8">
        <v>0</v>
      </c>
      <c r="O11" s="1">
        <v>108383709</v>
      </c>
    </row>
    <row r="12" spans="1:15" x14ac:dyDescent="0.25">
      <c r="A12" t="s">
        <v>33</v>
      </c>
      <c r="B12" s="1">
        <v>457471602</v>
      </c>
      <c r="C12" s="1">
        <v>445900567</v>
      </c>
      <c r="D12" s="13">
        <f t="shared" si="0"/>
        <v>11571035</v>
      </c>
      <c r="E12" s="2">
        <v>90754701</v>
      </c>
      <c r="F12" s="1">
        <v>132725167</v>
      </c>
      <c r="G12">
        <v>9166542</v>
      </c>
      <c r="H12" s="1">
        <v>136308830</v>
      </c>
      <c r="I12" s="7">
        <f>(E12/$G$2)*1000</f>
        <v>9900.6474851694347</v>
      </c>
      <c r="J12" s="7">
        <f>(F12/$G$2)*1000</f>
        <v>14479.306045834952</v>
      </c>
      <c r="K12" s="6">
        <f>((E12-F12)/G12)*1000</f>
        <v>-4578.6585606655153</v>
      </c>
      <c r="L12" s="14">
        <f t="shared" si="1"/>
        <v>21794.032144291708</v>
      </c>
      <c r="M12" s="8">
        <v>0</v>
      </c>
      <c r="O12" s="1">
        <v>199775911</v>
      </c>
    </row>
    <row r="13" spans="1:15" x14ac:dyDescent="0.25">
      <c r="A13" t="s">
        <v>32</v>
      </c>
      <c r="B13" s="1">
        <v>1061562627</v>
      </c>
      <c r="C13" s="1">
        <v>219829907</v>
      </c>
      <c r="D13" s="13">
        <f t="shared" si="0"/>
        <v>841732720</v>
      </c>
      <c r="E13" s="2">
        <v>91217025</v>
      </c>
      <c r="F13" s="1">
        <v>-86115632</v>
      </c>
      <c r="G13">
        <v>9166542</v>
      </c>
      <c r="H13" s="1">
        <v>185657817</v>
      </c>
      <c r="I13" s="7">
        <f>(E13/$G$2)*1000</f>
        <v>9951.0835165540066</v>
      </c>
      <c r="J13" s="7">
        <f>(F13/$G$2)*1000</f>
        <v>-9394.5603478389112</v>
      </c>
      <c r="K13" s="6">
        <f>((E13-F13)/G13)*1000</f>
        <v>19345.643864392918</v>
      </c>
      <c r="L13" s="14">
        <f t="shared" si="1"/>
        <v>37929.795227033268</v>
      </c>
      <c r="M13" s="8">
        <v>0</v>
      </c>
      <c r="O13" s="1">
        <v>347685061</v>
      </c>
    </row>
    <row r="14" spans="1:15" x14ac:dyDescent="0.25">
      <c r="A14" t="s">
        <v>31</v>
      </c>
      <c r="B14" s="1">
        <v>3235549815</v>
      </c>
      <c r="C14" s="1">
        <v>751222203</v>
      </c>
      <c r="D14" s="13">
        <f t="shared" si="0"/>
        <v>2484327612</v>
      </c>
      <c r="E14" s="2">
        <v>418011080</v>
      </c>
      <c r="F14" s="1">
        <v>446258355</v>
      </c>
      <c r="G14">
        <v>9166542</v>
      </c>
      <c r="H14" s="1">
        <v>908360718</v>
      </c>
      <c r="I14" s="7">
        <f>(E14/$G$2)*1000</f>
        <v>45601.828912145931</v>
      </c>
      <c r="J14" s="7">
        <f>(F14/$G$2)*1000</f>
        <v>48683.391730491174</v>
      </c>
      <c r="K14" s="6">
        <f>((E14-F14)/G14)*1000</f>
        <v>-3081.5628183452386</v>
      </c>
      <c r="L14" s="14">
        <f t="shared" si="1"/>
        <v>35356.821907323392</v>
      </c>
      <c r="M14" s="8">
        <v>1</v>
      </c>
      <c r="O14" s="1">
        <v>324099793</v>
      </c>
    </row>
    <row r="15" spans="1:15" x14ac:dyDescent="0.25">
      <c r="A15" t="s">
        <v>30</v>
      </c>
      <c r="B15" s="1">
        <v>324461274</v>
      </c>
      <c r="C15" s="1">
        <v>1195921237</v>
      </c>
      <c r="D15" s="13">
        <f t="shared" si="0"/>
        <v>-871459963</v>
      </c>
      <c r="E15" s="2">
        <v>104691811</v>
      </c>
      <c r="F15" s="1">
        <v>833345277</v>
      </c>
      <c r="G15">
        <v>9166542</v>
      </c>
      <c r="H15" s="1">
        <v>200666034</v>
      </c>
      <c r="I15" s="7">
        <f>(E15/$G$2)*1000</f>
        <v>11421.080163053855</v>
      </c>
      <c r="J15" s="7">
        <f>(F15/$G$2)*1000</f>
        <v>90911.630252716888</v>
      </c>
      <c r="K15" s="6">
        <f>((E15-F15)/G15)*1000</f>
        <v>-79490.550089663026</v>
      </c>
      <c r="L15" s="14">
        <f t="shared" si="1"/>
        <v>5473.625059482627</v>
      </c>
      <c r="M15" s="8">
        <v>1</v>
      </c>
      <c r="O15" s="1">
        <v>50174214</v>
      </c>
    </row>
    <row r="16" spans="1:15" x14ac:dyDescent="0.25">
      <c r="A16" t="s">
        <v>29</v>
      </c>
      <c r="B16" s="1">
        <v>324600291</v>
      </c>
      <c r="C16" s="1">
        <v>320273704</v>
      </c>
      <c r="D16" s="13">
        <f t="shared" si="0"/>
        <v>4326587</v>
      </c>
      <c r="E16" s="2">
        <v>107444889</v>
      </c>
      <c r="F16" s="1">
        <v>-103841862</v>
      </c>
      <c r="G16">
        <v>9166542</v>
      </c>
      <c r="H16" s="1">
        <v>202061733</v>
      </c>
      <c r="I16" s="7">
        <f>(E16/$G$2)*1000</f>
        <v>11721.420029494218</v>
      </c>
      <c r="J16" s="7">
        <f>(F16/$G$2)*1000</f>
        <v>-11328.357192930553</v>
      </c>
      <c r="K16" s="6">
        <f>((E16-F16)/G16)*1000</f>
        <v>23049.777222424767</v>
      </c>
      <c r="L16" s="14">
        <f t="shared" si="1"/>
        <v>4090.8298898319558</v>
      </c>
      <c r="M16" s="8">
        <v>1</v>
      </c>
      <c r="O16" s="1">
        <v>37498764</v>
      </c>
    </row>
    <row r="17" spans="1:15" x14ac:dyDescent="0.25">
      <c r="A17" t="s">
        <v>28</v>
      </c>
      <c r="B17" s="1">
        <v>279036101</v>
      </c>
      <c r="C17" s="1">
        <v>263448238</v>
      </c>
      <c r="D17" s="13">
        <f t="shared" si="0"/>
        <v>15587863</v>
      </c>
      <c r="E17" s="2">
        <v>106030851</v>
      </c>
      <c r="F17" s="1">
        <v>-80590267</v>
      </c>
      <c r="G17">
        <v>9166542</v>
      </c>
      <c r="H17" s="1">
        <v>183950382</v>
      </c>
      <c r="I17" s="7">
        <f>(E17/$G$2)*1000</f>
        <v>11567.159240638401</v>
      </c>
      <c r="J17" s="7">
        <f>(F17/$G$2)*1000</f>
        <v>-8791.7850591858969</v>
      </c>
      <c r="K17" s="6">
        <f>((E17-F17)/G17)*1000</f>
        <v>20358.944299824296</v>
      </c>
      <c r="L17" s="14">
        <f t="shared" si="1"/>
        <v>4957.375420305716</v>
      </c>
      <c r="M17" s="8">
        <v>1</v>
      </c>
      <c r="O17" s="1">
        <v>45441990</v>
      </c>
    </row>
    <row r="18" spans="1:15" x14ac:dyDescent="0.25">
      <c r="A18" t="s">
        <v>27</v>
      </c>
      <c r="B18" s="1">
        <v>722086407</v>
      </c>
      <c r="C18" s="1">
        <v>332329063</v>
      </c>
      <c r="D18" s="13">
        <f t="shared" si="0"/>
        <v>389757344</v>
      </c>
      <c r="E18" s="2">
        <v>183188906</v>
      </c>
      <c r="F18" s="1">
        <v>192809848</v>
      </c>
      <c r="G18">
        <v>9166542</v>
      </c>
      <c r="H18" s="1">
        <v>358269127</v>
      </c>
      <c r="I18" s="7">
        <f>(E18/$G$2)*1000</f>
        <v>19984.516080327783</v>
      </c>
      <c r="J18" s="7">
        <f>(F18/$G$2)*1000</f>
        <v>21034.087663592225</v>
      </c>
      <c r="K18" s="6">
        <f>((E18-F18)/G18)*1000</f>
        <v>-1049.5715832644414</v>
      </c>
      <c r="L18" s="14">
        <f t="shared" si="1"/>
        <v>4338.3785292207249</v>
      </c>
      <c r="M18" s="8">
        <v>0</v>
      </c>
      <c r="O18" s="1">
        <v>39767929</v>
      </c>
    </row>
    <row r="19" spans="1:15" x14ac:dyDescent="0.25">
      <c r="A19" t="s">
        <v>26</v>
      </c>
      <c r="B19" s="1">
        <v>478350972</v>
      </c>
      <c r="C19" s="1">
        <v>242418230</v>
      </c>
      <c r="D19" s="13">
        <f t="shared" si="0"/>
        <v>235932742</v>
      </c>
      <c r="E19" s="2">
        <v>183689627</v>
      </c>
      <c r="F19" s="1">
        <v>5826267</v>
      </c>
      <c r="G19">
        <v>9166542</v>
      </c>
      <c r="H19" s="1">
        <v>231948908</v>
      </c>
      <c r="I19" s="7">
        <f>(E19/$G$2)*1000</f>
        <v>20039.140932316681</v>
      </c>
      <c r="J19" s="7">
        <f>(F19/$G$2)*1000</f>
        <v>635.6014078155099</v>
      </c>
      <c r="K19" s="6">
        <f>((E19-F19)/G19)*1000</f>
        <v>19403.539524501171</v>
      </c>
      <c r="L19" s="14">
        <f t="shared" si="1"/>
        <v>5286.0128715932351</v>
      </c>
      <c r="M19" s="8">
        <v>0</v>
      </c>
      <c r="O19" s="1">
        <v>48454459</v>
      </c>
    </row>
    <row r="20" spans="1:15" x14ac:dyDescent="0.25">
      <c r="A20" t="s">
        <v>25</v>
      </c>
      <c r="B20" s="1">
        <v>473284032</v>
      </c>
      <c r="C20" s="1">
        <v>439277540</v>
      </c>
      <c r="D20" s="13">
        <f t="shared" si="0"/>
        <v>34006492</v>
      </c>
      <c r="E20" s="2">
        <v>124322121</v>
      </c>
      <c r="F20" s="1">
        <v>78183248</v>
      </c>
      <c r="G20">
        <v>9166542</v>
      </c>
      <c r="H20" s="1">
        <v>240032772</v>
      </c>
      <c r="I20" s="7">
        <f>(E20/$G$2)*1000</f>
        <v>13562.597651328058</v>
      </c>
      <c r="J20" s="7">
        <f>(F20/$G$2)*1000</f>
        <v>8529.1975970873191</v>
      </c>
      <c r="K20" s="6">
        <f>((E20-F20)/G20)*1000</f>
        <v>5033.4000542407375</v>
      </c>
      <c r="L20" s="14">
        <f t="shared" si="1"/>
        <v>3972.2299859641726</v>
      </c>
      <c r="M20" s="8">
        <v>0</v>
      </c>
      <c r="O20" s="1">
        <v>36411613</v>
      </c>
    </row>
    <row r="21" spans="1:15" x14ac:dyDescent="0.25">
      <c r="A21" t="s">
        <v>24</v>
      </c>
      <c r="B21" s="1">
        <v>237988736</v>
      </c>
      <c r="C21" s="1">
        <v>410753165</v>
      </c>
      <c r="D21" s="13">
        <f t="shared" si="0"/>
        <v>-172764429</v>
      </c>
      <c r="E21" s="2">
        <v>124720303</v>
      </c>
      <c r="F21" s="1">
        <v>-56200068</v>
      </c>
      <c r="G21">
        <v>9166542</v>
      </c>
      <c r="H21" s="1">
        <v>108556856</v>
      </c>
      <c r="I21" s="7">
        <f>(E21/$G$2)*1000</f>
        <v>13606.036278457024</v>
      </c>
      <c r="J21" s="7">
        <f>(F21/$G$2)*1000</f>
        <v>-6130.9998906894225</v>
      </c>
      <c r="K21" s="6">
        <f>((E21-F21)/G21)*1000</f>
        <v>19737.036169146446</v>
      </c>
      <c r="L21" s="14">
        <f t="shared" si="1"/>
        <v>4392.3822091253169</v>
      </c>
      <c r="M21" s="8">
        <v>0</v>
      </c>
      <c r="O21" s="1">
        <v>40262956</v>
      </c>
    </row>
    <row r="22" spans="1:15" x14ac:dyDescent="0.25">
      <c r="A22" t="s">
        <v>23</v>
      </c>
      <c r="B22" s="1">
        <v>850152931</v>
      </c>
      <c r="C22" s="1">
        <v>391370963</v>
      </c>
      <c r="D22" s="13">
        <f t="shared" si="0"/>
        <v>458781968</v>
      </c>
      <c r="E22" s="2">
        <v>302686417</v>
      </c>
      <c r="F22" s="1">
        <v>160780302</v>
      </c>
      <c r="G22">
        <v>9732749</v>
      </c>
      <c r="H22" s="1">
        <v>419061385</v>
      </c>
      <c r="I22" s="7">
        <f>(E22/$G$2)*1000</f>
        <v>33020.785482682564</v>
      </c>
      <c r="J22" s="7">
        <f>(F22/$G$2)*1000</f>
        <v>17539.907851837692</v>
      </c>
      <c r="K22" s="6">
        <f>((E22-F22)/G22)*1000</f>
        <v>14580.270692278205</v>
      </c>
      <c r="L22" s="14">
        <f t="shared" si="1"/>
        <v>4235.3886861769479</v>
      </c>
      <c r="M22" s="8">
        <v>0</v>
      </c>
      <c r="O22" s="1">
        <v>41221975</v>
      </c>
    </row>
    <row r="23" spans="1:15" x14ac:dyDescent="0.25">
      <c r="A23" t="s">
        <v>22</v>
      </c>
      <c r="B23" s="1">
        <v>392915227</v>
      </c>
      <c r="C23" s="1">
        <v>292521895</v>
      </c>
      <c r="D23" s="13">
        <f t="shared" si="0"/>
        <v>100393332</v>
      </c>
      <c r="E23" s="2">
        <v>182856607</v>
      </c>
      <c r="F23" s="1">
        <v>31880380</v>
      </c>
      <c r="G23">
        <v>9732749</v>
      </c>
      <c r="H23" s="1">
        <v>184064802</v>
      </c>
      <c r="I23" s="7">
        <f>(E23/$G$2)*1000</f>
        <v>19948.264787310196</v>
      </c>
      <c r="J23" s="7">
        <f>(F23/$G$2)*1000</f>
        <v>3477.9069358979646</v>
      </c>
      <c r="K23" s="6">
        <f>((E23-F23)/G23)*1000</f>
        <v>15512.187461117101</v>
      </c>
      <c r="L23" s="14">
        <f t="shared" si="1"/>
        <v>6967.067063991889</v>
      </c>
      <c r="M23" s="8">
        <v>0</v>
      </c>
      <c r="O23" s="1">
        <v>67808715</v>
      </c>
    </row>
    <row r="24" spans="1:15" x14ac:dyDescent="0.25">
      <c r="A24" t="s">
        <v>21</v>
      </c>
      <c r="B24" s="1">
        <v>754656416</v>
      </c>
      <c r="C24" s="1">
        <v>331805956</v>
      </c>
      <c r="D24" s="13">
        <f t="shared" si="0"/>
        <v>422850460</v>
      </c>
      <c r="E24" s="2">
        <v>245357021</v>
      </c>
      <c r="F24" s="1">
        <v>15868392</v>
      </c>
      <c r="G24">
        <v>9732749</v>
      </c>
      <c r="H24" s="1">
        <v>275272824</v>
      </c>
      <c r="I24" s="7">
        <f>(E24/$G$2)*1000</f>
        <v>26766.584498276447</v>
      </c>
      <c r="J24" s="7">
        <f>(F24/$G$2)*1000</f>
        <v>1731.1208523345008</v>
      </c>
      <c r="K24" s="6">
        <f>((E24-F24)/G24)*1000</f>
        <v>23579.014418228602</v>
      </c>
      <c r="L24" s="14">
        <f t="shared" si="1"/>
        <v>5315.4782888164491</v>
      </c>
      <c r="M24" s="8">
        <v>0</v>
      </c>
      <c r="O24" s="1">
        <v>51734216</v>
      </c>
    </row>
    <row r="25" spans="1:15" x14ac:dyDescent="0.25">
      <c r="A25" t="s">
        <v>20</v>
      </c>
      <c r="B25" s="1">
        <v>277696131</v>
      </c>
      <c r="C25" s="1">
        <v>549868451</v>
      </c>
      <c r="D25" s="13">
        <f t="shared" si="0"/>
        <v>-272172320</v>
      </c>
      <c r="E25" s="2">
        <v>51746719</v>
      </c>
      <c r="F25" s="1">
        <v>66734999</v>
      </c>
      <c r="G25">
        <v>9732749</v>
      </c>
      <c r="H25" s="1">
        <v>188580309</v>
      </c>
      <c r="I25" s="7">
        <f>(E25/$G$2)*1000</f>
        <v>5645.1733925399567</v>
      </c>
      <c r="J25" s="7">
        <f>(F25/$G$2)*1000</f>
        <v>7280.2807209087132</v>
      </c>
      <c r="K25" s="6">
        <f>((E25-F25)/G25)*1000</f>
        <v>-1539.9842326150608</v>
      </c>
      <c r="L25" s="14">
        <f t="shared" si="1"/>
        <v>3687.2190991466027</v>
      </c>
      <c r="M25" s="8">
        <v>0</v>
      </c>
      <c r="O25" s="1">
        <v>35886778</v>
      </c>
    </row>
    <row r="26" spans="1:15" x14ac:dyDescent="0.25">
      <c r="A26" t="s">
        <v>19</v>
      </c>
      <c r="B26" s="1">
        <v>1105047464</v>
      </c>
      <c r="C26" s="1">
        <v>482297920</v>
      </c>
      <c r="D26" s="13">
        <f t="shared" si="0"/>
        <v>622749544</v>
      </c>
      <c r="E26" s="2">
        <v>311998759</v>
      </c>
      <c r="F26" s="1">
        <v>216581199</v>
      </c>
      <c r="G26">
        <v>9732749</v>
      </c>
      <c r="H26" s="1">
        <v>435076894</v>
      </c>
      <c r="I26" s="7">
        <f>(E26/$G$2)*1000</f>
        <v>34036.691153545144</v>
      </c>
      <c r="J26" s="7">
        <f>(F26/$G$2)*1000</f>
        <v>23627.361223021722</v>
      </c>
      <c r="K26" s="6">
        <f>((E26-F26)/G26)*1000</f>
        <v>9803.7625341000785</v>
      </c>
      <c r="L26" s="14">
        <f t="shared" si="1"/>
        <v>0</v>
      </c>
      <c r="M26" s="8">
        <v>0</v>
      </c>
      <c r="O26" s="1">
        <v>0</v>
      </c>
    </row>
    <row r="27" spans="1:15" x14ac:dyDescent="0.25">
      <c r="A27" t="s">
        <v>18</v>
      </c>
      <c r="B27" s="1">
        <v>247917703</v>
      </c>
      <c r="C27" s="1">
        <v>408696323</v>
      </c>
      <c r="D27" s="13">
        <f t="shared" si="0"/>
        <v>-160778620</v>
      </c>
      <c r="E27" s="2">
        <v>64710207</v>
      </c>
      <c r="F27" s="1">
        <v>102542470</v>
      </c>
      <c r="G27">
        <v>9732749</v>
      </c>
      <c r="H27" s="1">
        <v>182725719</v>
      </c>
      <c r="I27" s="7">
        <f>(E27/$G$2)*1000</f>
        <v>7059.3913168128174</v>
      </c>
      <c r="J27" s="7">
        <f>(F27/$G$2)*1000</f>
        <v>11186.603410533657</v>
      </c>
      <c r="K27" s="6">
        <f>((E27-F27)/G27)*1000</f>
        <v>-3887.1096953183524</v>
      </c>
      <c r="L27" s="14">
        <f t="shared" si="1"/>
        <v>5888.441282108477</v>
      </c>
      <c r="M27" s="8">
        <v>0</v>
      </c>
      <c r="O27" s="1">
        <v>57310721</v>
      </c>
    </row>
    <row r="28" spans="1:15" x14ac:dyDescent="0.25">
      <c r="A28" t="s">
        <v>17</v>
      </c>
      <c r="B28" s="1">
        <v>266708348</v>
      </c>
      <c r="C28" s="1">
        <v>459706261</v>
      </c>
      <c r="D28" s="13">
        <f t="shared" si="0"/>
        <v>-192997913</v>
      </c>
      <c r="E28" s="2">
        <v>96838988</v>
      </c>
      <c r="F28" s="1">
        <v>141363903</v>
      </c>
      <c r="G28">
        <v>9732749</v>
      </c>
      <c r="H28" s="1">
        <v>196686417</v>
      </c>
      <c r="I28" s="7">
        <f>(E28/$G$2)*1000</f>
        <v>10564.396912161643</v>
      </c>
      <c r="J28" s="7">
        <f>(F28/$G$2)*1000</f>
        <v>15421.72642638849</v>
      </c>
      <c r="K28" s="6">
        <f>((E28-F28)/G28)*1000</f>
        <v>-4574.7522102953644</v>
      </c>
      <c r="L28" s="14">
        <f t="shared" si="1"/>
        <v>5068.1755997200789</v>
      </c>
      <c r="M28" s="8">
        <v>0</v>
      </c>
      <c r="O28" s="1">
        <v>49327281</v>
      </c>
    </row>
    <row r="29" spans="1:15" x14ac:dyDescent="0.25">
      <c r="A29" t="s">
        <v>16</v>
      </c>
      <c r="B29" s="1">
        <v>473847667</v>
      </c>
      <c r="C29" s="1">
        <v>393274948</v>
      </c>
      <c r="D29" s="13">
        <f t="shared" si="0"/>
        <v>80572719</v>
      </c>
      <c r="E29" s="2">
        <v>100129530</v>
      </c>
      <c r="F29" s="1">
        <v>104873872</v>
      </c>
      <c r="G29">
        <v>9732749</v>
      </c>
      <c r="H29" s="1">
        <v>202491225</v>
      </c>
      <c r="I29" s="7">
        <f>(E29/$G$2)*1000</f>
        <v>10923.370012377623</v>
      </c>
      <c r="J29" s="7">
        <f>(F29/$G$2)*1000</f>
        <v>11440.941633169849</v>
      </c>
      <c r="K29" s="6">
        <f>((E29-F29)/G29)*1000</f>
        <v>-487.46166165386575</v>
      </c>
      <c r="L29" s="14">
        <f t="shared" si="1"/>
        <v>5318.6762547765275</v>
      </c>
      <c r="M29" s="8">
        <v>0</v>
      </c>
      <c r="O29" s="1">
        <v>51765341</v>
      </c>
    </row>
    <row r="30" spans="1:15" x14ac:dyDescent="0.25">
      <c r="A30" t="s">
        <v>15</v>
      </c>
      <c r="B30" s="1">
        <v>725784364</v>
      </c>
      <c r="C30" s="1">
        <v>446700704</v>
      </c>
      <c r="D30" s="13">
        <f t="shared" si="0"/>
        <v>279083660</v>
      </c>
      <c r="E30" s="2">
        <v>154210224</v>
      </c>
      <c r="F30" s="1">
        <v>135614060</v>
      </c>
      <c r="G30">
        <v>9732749</v>
      </c>
      <c r="H30" s="1">
        <v>355358606</v>
      </c>
      <c r="I30" s="7">
        <f>(E30/$G$2)*1000</f>
        <v>16823.16232228031</v>
      </c>
      <c r="J30" s="7">
        <f>(F30/$G$2)*1000</f>
        <v>14794.462295596311</v>
      </c>
      <c r="K30" s="6">
        <f>((E30-F30)/G30)*1000</f>
        <v>1910.6795007248209</v>
      </c>
      <c r="L30" s="14">
        <f t="shared" si="1"/>
        <v>7409.4216341138563</v>
      </c>
      <c r="M30" s="8">
        <v>1</v>
      </c>
      <c r="O30" s="1">
        <v>72114041</v>
      </c>
    </row>
    <row r="31" spans="1:15" x14ac:dyDescent="0.25">
      <c r="A31" t="s">
        <v>14</v>
      </c>
      <c r="B31" s="1">
        <v>266104111</v>
      </c>
      <c r="C31" s="1">
        <v>386316185</v>
      </c>
      <c r="D31" s="13">
        <f t="shared" si="0"/>
        <v>-120212074</v>
      </c>
      <c r="E31" s="2">
        <v>65175583</v>
      </c>
      <c r="F31" s="1">
        <v>121246744</v>
      </c>
      <c r="G31">
        <v>9732749</v>
      </c>
      <c r="H31" s="1">
        <v>200109920</v>
      </c>
      <c r="I31" s="7">
        <f>(E31/$G$2)*1000</f>
        <v>7110.1602981800552</v>
      </c>
      <c r="J31" s="7">
        <f>(F31/$G$2)*1000</f>
        <v>13227.097415797582</v>
      </c>
      <c r="K31" s="6">
        <f>((E31-F31)/G31)*1000</f>
        <v>-5761.0815813702793</v>
      </c>
      <c r="L31" s="14">
        <f t="shared" si="1"/>
        <v>7172.5296727574087</v>
      </c>
      <c r="M31" s="8">
        <v>1</v>
      </c>
      <c r="O31" s="1">
        <v>69808431</v>
      </c>
    </row>
    <row r="32" spans="1:15" x14ac:dyDescent="0.25">
      <c r="A32" t="s">
        <v>13</v>
      </c>
      <c r="B32" s="1">
        <v>263108311</v>
      </c>
      <c r="C32" s="1">
        <v>345944164</v>
      </c>
      <c r="D32" s="13">
        <f t="shared" si="0"/>
        <v>-82835853</v>
      </c>
      <c r="E32" s="2">
        <v>69599072</v>
      </c>
      <c r="F32" s="1">
        <v>110753373</v>
      </c>
      <c r="G32">
        <v>9732749</v>
      </c>
      <c r="H32" s="1">
        <v>179282099</v>
      </c>
      <c r="I32" s="7">
        <f>(E32/$G$2)*1000</f>
        <v>7592.7292974820821</v>
      </c>
      <c r="J32" s="7">
        <f>(F32/$G$2)*1000</f>
        <v>12082.350465420875</v>
      </c>
      <c r="K32" s="6">
        <f>((E32-F32)/G32)*1000</f>
        <v>-4228.435460526106</v>
      </c>
      <c r="L32" s="14">
        <f t="shared" si="1"/>
        <v>5814.1153131556157</v>
      </c>
      <c r="M32" s="8">
        <v>1</v>
      </c>
      <c r="O32" s="1">
        <v>56587325</v>
      </c>
    </row>
    <row r="33" spans="1:15" x14ac:dyDescent="0.25">
      <c r="A33" t="s">
        <v>12</v>
      </c>
      <c r="B33" s="1">
        <v>388579582</v>
      </c>
      <c r="C33" s="1">
        <v>310562131</v>
      </c>
      <c r="D33" s="13">
        <f t="shared" si="0"/>
        <v>78017451</v>
      </c>
      <c r="E33" s="2">
        <v>90991273</v>
      </c>
      <c r="F33" s="1">
        <v>102576533</v>
      </c>
      <c r="G33">
        <v>9732749</v>
      </c>
      <c r="H33" s="1">
        <v>164711613</v>
      </c>
      <c r="I33" s="7">
        <f>(E33/$G$2)*1000</f>
        <v>9926.4556907064853</v>
      </c>
      <c r="J33" s="7">
        <f>(F33/$G$2)*1000</f>
        <v>11190.319424707812</v>
      </c>
      <c r="K33" s="6">
        <f>((E33-F33)/G33)*1000</f>
        <v>-1190.3378993951246</v>
      </c>
      <c r="L33" s="14">
        <f t="shared" si="1"/>
        <v>6435.927095212257</v>
      </c>
      <c r="M33" s="8">
        <v>1</v>
      </c>
      <c r="O33" s="1">
        <v>62639263</v>
      </c>
    </row>
    <row r="34" spans="1:15" x14ac:dyDescent="0.25">
      <c r="A34" t="s">
        <v>11</v>
      </c>
      <c r="B34" s="1">
        <v>557859638</v>
      </c>
      <c r="C34" s="1">
        <v>310666369</v>
      </c>
      <c r="D34" s="13">
        <f t="shared" si="0"/>
        <v>247193269</v>
      </c>
      <c r="E34" s="2">
        <v>159545296</v>
      </c>
      <c r="F34" s="1">
        <v>91177761</v>
      </c>
      <c r="G34">
        <v>9732749</v>
      </c>
      <c r="H34" s="1">
        <v>293057844</v>
      </c>
      <c r="I34" s="7">
        <f>(E34/$G$2)*1000</f>
        <v>17405.178092240239</v>
      </c>
      <c r="J34" s="7">
        <f>(F34/$G$2)*1000</f>
        <v>9946.8001128451706</v>
      </c>
      <c r="K34" s="6">
        <f>((E34-F34)/G34)*1000</f>
        <v>7024.4835246444763</v>
      </c>
      <c r="L34" s="14">
        <f t="shared" si="1"/>
        <v>5540.5955706861441</v>
      </c>
      <c r="M34" s="8">
        <v>0</v>
      </c>
      <c r="O34" s="1">
        <v>53925226</v>
      </c>
    </row>
    <row r="35" spans="1:15" x14ac:dyDescent="0.25">
      <c r="A35" t="s">
        <v>10</v>
      </c>
      <c r="B35" s="1">
        <v>278671693</v>
      </c>
      <c r="C35" s="1">
        <v>311009537</v>
      </c>
      <c r="D35" s="13">
        <f t="shared" si="0"/>
        <v>-32337844</v>
      </c>
      <c r="E35" s="2">
        <v>86872788</v>
      </c>
      <c r="F35" s="1">
        <v>75631922</v>
      </c>
      <c r="G35">
        <v>9732749</v>
      </c>
      <c r="H35" s="1">
        <v>191490240</v>
      </c>
      <c r="I35" s="7">
        <f>(E35/$G$2)*1000</f>
        <v>9477.1603075620005</v>
      </c>
      <c r="J35" s="7">
        <f>(F35/$G$2)*1000</f>
        <v>8250.8673390685381</v>
      </c>
      <c r="K35" s="6">
        <f>((E35-F35)/G35)*1000</f>
        <v>1154.9528298736564</v>
      </c>
      <c r="L35" s="14">
        <f t="shared" si="1"/>
        <v>6323.6941587623387</v>
      </c>
      <c r="M35" s="8">
        <v>0</v>
      </c>
      <c r="O35" s="1">
        <v>61546928</v>
      </c>
    </row>
    <row r="36" spans="1:15" x14ac:dyDescent="0.25">
      <c r="A36" t="s">
        <v>9</v>
      </c>
      <c r="B36" s="1">
        <v>275650813</v>
      </c>
      <c r="C36" s="1">
        <v>258069392</v>
      </c>
      <c r="D36" s="13">
        <f t="shared" si="0"/>
        <v>17581421</v>
      </c>
      <c r="E36" s="2">
        <v>98400370</v>
      </c>
      <c r="F36" s="1">
        <v>17754859</v>
      </c>
      <c r="G36">
        <v>9732749</v>
      </c>
      <c r="H36" s="1">
        <v>176790740</v>
      </c>
      <c r="I36" s="7">
        <f>(E36/$G$2)*1000</f>
        <v>10734.731810534442</v>
      </c>
      <c r="J36" s="7">
        <f>(F36/$G$2)*1000</f>
        <v>1936.9200512036055</v>
      </c>
      <c r="K36" s="6">
        <f>((E36-F36)/G36)*1000</f>
        <v>8285.9951489553478</v>
      </c>
      <c r="L36" s="14">
        <f t="shared" si="1"/>
        <v>5559.2749797616279</v>
      </c>
      <c r="M36" s="8">
        <v>0</v>
      </c>
      <c r="O36" s="1">
        <v>54107028</v>
      </c>
    </row>
    <row r="37" spans="1:15" x14ac:dyDescent="0.25">
      <c r="A37" t="s">
        <v>8</v>
      </c>
      <c r="B37" s="1">
        <v>1494253503</v>
      </c>
      <c r="C37" s="1">
        <v>303215807</v>
      </c>
      <c r="D37" s="13">
        <f t="shared" si="0"/>
        <v>1191037696</v>
      </c>
      <c r="E37" s="2">
        <v>89083988</v>
      </c>
      <c r="F37" s="1">
        <v>23632272</v>
      </c>
      <c r="G37">
        <v>9732749</v>
      </c>
      <c r="H37" s="1">
        <v>163475842</v>
      </c>
      <c r="I37" s="7">
        <f>(E37/$G$2)*1000</f>
        <v>9718.3854064051629</v>
      </c>
      <c r="J37" s="7">
        <f>(F37/$G$2)*1000</f>
        <v>2578.1010985385765</v>
      </c>
      <c r="K37" s="6">
        <f>((E37-F37)/G37)*1000</f>
        <v>6724.8950938732723</v>
      </c>
      <c r="L37" s="14">
        <f t="shared" si="1"/>
        <v>5540.5955706861441</v>
      </c>
      <c r="M37" s="8">
        <v>0</v>
      </c>
      <c r="O37" s="1">
        <v>53925226</v>
      </c>
    </row>
    <row r="38" spans="1:15" x14ac:dyDescent="0.25">
      <c r="A38" t="s">
        <v>7</v>
      </c>
      <c r="B38" s="1">
        <v>1880918927</v>
      </c>
      <c r="C38" s="1">
        <v>418891130</v>
      </c>
      <c r="D38" s="13">
        <f t="shared" si="0"/>
        <v>1462027797</v>
      </c>
      <c r="E38" s="2">
        <v>177589866</v>
      </c>
      <c r="F38" s="1">
        <v>120661619</v>
      </c>
      <c r="G38">
        <v>9732749</v>
      </c>
      <c r="H38" s="1">
        <v>410201268</v>
      </c>
      <c r="I38" s="7">
        <f>(E38/$G$2)*1000</f>
        <v>19373.7034096391</v>
      </c>
      <c r="J38" s="7">
        <f>(F38/$G$2)*1000</f>
        <v>13163.264729491229</v>
      </c>
      <c r="K38" s="6">
        <f>((E38-F38)/G38)*1000</f>
        <v>5849.1436489320749</v>
      </c>
      <c r="L38" s="14">
        <f t="shared" si="1"/>
        <v>0</v>
      </c>
      <c r="M38" s="8">
        <v>0</v>
      </c>
      <c r="O38" s="1">
        <v>0</v>
      </c>
    </row>
    <row r="39" spans="1:15" x14ac:dyDescent="0.25">
      <c r="A39" t="s">
        <v>6</v>
      </c>
      <c r="B39" s="1">
        <v>377822237</v>
      </c>
      <c r="C39" s="1">
        <v>1029543296</v>
      </c>
      <c r="D39" s="13">
        <f t="shared" si="0"/>
        <v>-651721059</v>
      </c>
      <c r="E39" s="2">
        <v>135287428</v>
      </c>
      <c r="F39" s="1">
        <v>154321187</v>
      </c>
      <c r="G39">
        <v>9732749</v>
      </c>
      <c r="H39" s="1">
        <v>228094685</v>
      </c>
      <c r="I39" s="7">
        <f>(E39/$G$2)*1000</f>
        <v>14758.829229168425</v>
      </c>
      <c r="J39" s="7">
        <f>(F39/$G$2)*1000</f>
        <v>16835.267541456746</v>
      </c>
      <c r="K39" s="6">
        <f>((E39-F39)/G39)*1000</f>
        <v>-1955.6405903409202</v>
      </c>
      <c r="L39" s="14">
        <f t="shared" si="1"/>
        <v>6263.1451812843416</v>
      </c>
      <c r="M39" s="8">
        <v>0</v>
      </c>
      <c r="O39" s="1">
        <v>60957620</v>
      </c>
    </row>
    <row r="40" spans="1:15" x14ac:dyDescent="0.25">
      <c r="A40" t="s">
        <v>5</v>
      </c>
      <c r="B40" s="1">
        <v>1660867847</v>
      </c>
      <c r="C40" s="1">
        <v>531782804</v>
      </c>
      <c r="D40" s="13">
        <f t="shared" si="0"/>
        <v>1129085043</v>
      </c>
      <c r="E40" s="2">
        <v>155311150</v>
      </c>
      <c r="F40" s="1">
        <v>174234163</v>
      </c>
      <c r="G40">
        <v>9732749</v>
      </c>
      <c r="H40" s="1">
        <v>217095449</v>
      </c>
      <c r="I40" s="7">
        <f>(E40/$G$2)*1000</f>
        <v>16943.264973858193</v>
      </c>
      <c r="J40" s="7">
        <f>(F40/$G$2)*1000</f>
        <v>19007.621740019298</v>
      </c>
      <c r="K40" s="6">
        <f>((E40-F40)/G40)*1000</f>
        <v>-1944.2618935308001</v>
      </c>
      <c r="L40" s="14">
        <f t="shared" si="1"/>
        <v>5185.9292785625103</v>
      </c>
      <c r="M40" s="8">
        <v>0</v>
      </c>
      <c r="O40" s="1">
        <v>50473348</v>
      </c>
    </row>
    <row r="41" spans="1:15" x14ac:dyDescent="0.25">
      <c r="A41" t="s">
        <v>4</v>
      </c>
      <c r="B41" s="1">
        <v>400641611</v>
      </c>
      <c r="C41" s="1">
        <v>318705286</v>
      </c>
      <c r="D41" s="13">
        <f t="shared" si="0"/>
        <v>81936325</v>
      </c>
      <c r="E41" s="2">
        <v>82875683</v>
      </c>
      <c r="F41" s="1">
        <v>-39613592</v>
      </c>
      <c r="G41">
        <v>9732749</v>
      </c>
      <c r="H41" s="1">
        <v>212686419</v>
      </c>
      <c r="I41" s="7">
        <f>(E41/$G$2)*1000</f>
        <v>9041.1065590492017</v>
      </c>
      <c r="J41" s="7">
        <f>(F41/$G$2)*1000</f>
        <v>-4321.5415366012612</v>
      </c>
      <c r="K41" s="6">
        <f>((E41-F41)/G41)*1000</f>
        <v>12585.270102003042</v>
      </c>
      <c r="L41" s="14">
        <f t="shared" si="1"/>
        <v>12728.593637830381</v>
      </c>
      <c r="M41" s="8">
        <v>0</v>
      </c>
      <c r="O41" s="1">
        <v>123884207</v>
      </c>
    </row>
    <row r="42" spans="1:15" x14ac:dyDescent="0.25">
      <c r="A42" s="3" t="s">
        <v>3</v>
      </c>
      <c r="B42" s="4">
        <v>1880918927</v>
      </c>
      <c r="C42" s="4">
        <v>1009320321</v>
      </c>
      <c r="D42" s="13">
        <f t="shared" si="0"/>
        <v>871598606</v>
      </c>
      <c r="E42" s="5">
        <v>131158503</v>
      </c>
      <c r="F42" s="4">
        <v>811105725</v>
      </c>
      <c r="G42" s="3">
        <v>10285076</v>
      </c>
      <c r="H42" s="4">
        <v>562895484</v>
      </c>
      <c r="I42" s="7">
        <f>(E42/$G$2)*1000</f>
        <v>14308.39492144366</v>
      </c>
      <c r="J42" s="7">
        <f>(F42/$G$2)*1000</f>
        <v>88485.464311405551</v>
      </c>
      <c r="K42" s="6">
        <f>((E42-F42)/G42)*1000</f>
        <v>-66110.082414558739</v>
      </c>
      <c r="L42" s="14">
        <f t="shared" si="1"/>
        <v>0</v>
      </c>
      <c r="M42" s="8">
        <v>0</v>
      </c>
      <c r="O42" s="1">
        <v>0</v>
      </c>
    </row>
    <row r="43" spans="1:15" x14ac:dyDescent="0.25">
      <c r="A43" s="3" t="s">
        <v>2</v>
      </c>
      <c r="B43" s="4">
        <v>377822237</v>
      </c>
      <c r="C43" s="4">
        <v>465417842</v>
      </c>
      <c r="D43" s="13">
        <f t="shared" si="0"/>
        <v>-87595605</v>
      </c>
      <c r="E43" s="5">
        <v>111813069</v>
      </c>
      <c r="F43" s="4">
        <v>64936632</v>
      </c>
      <c r="G43" s="3">
        <v>10285076</v>
      </c>
      <c r="H43" s="4">
        <v>361087241</v>
      </c>
      <c r="I43" s="7">
        <f>(E43/$G$2)*1000</f>
        <v>12197.955237645778</v>
      </c>
      <c r="J43" s="7">
        <f>(F43/$G$2)*1000</f>
        <v>7084.0925618406591</v>
      </c>
      <c r="K43" s="6">
        <f>((E43-F43)/G43)*1000</f>
        <v>4557.7142064871468</v>
      </c>
      <c r="L43" s="14">
        <f t="shared" si="1"/>
        <v>17706.075968714282</v>
      </c>
      <c r="M43" s="8">
        <v>0</v>
      </c>
      <c r="O43" s="1">
        <v>182108337</v>
      </c>
    </row>
    <row r="44" spans="1:15" x14ac:dyDescent="0.25">
      <c r="A44" s="3" t="s">
        <v>1</v>
      </c>
      <c r="B44" s="4">
        <v>1660867847</v>
      </c>
      <c r="C44" s="4">
        <v>720157254</v>
      </c>
      <c r="D44" s="13">
        <f t="shared" si="0"/>
        <v>940710593</v>
      </c>
      <c r="E44" s="5">
        <v>118602659</v>
      </c>
      <c r="F44" s="4">
        <v>492076704</v>
      </c>
      <c r="G44" s="3">
        <v>10285076</v>
      </c>
      <c r="H44" s="4">
        <v>221365530</v>
      </c>
      <c r="I44" s="7">
        <f>(E44/$G$2)*1000</f>
        <v>12938.64785651994</v>
      </c>
      <c r="J44" s="7">
        <f>(F44/$G$2)*1000</f>
        <v>53681.825054638924</v>
      </c>
      <c r="K44" s="6">
        <f>((E44-F44)/G44)*1000</f>
        <v>-36312.229972826652</v>
      </c>
      <c r="L44" s="14">
        <f t="shared" si="1"/>
        <v>6609.5610766512564</v>
      </c>
      <c r="M44" s="8">
        <v>0</v>
      </c>
      <c r="O44" s="1">
        <v>67979838</v>
      </c>
    </row>
    <row r="45" spans="1:15" x14ac:dyDescent="0.25">
      <c r="A45" s="3" t="s">
        <v>0</v>
      </c>
      <c r="B45" s="4">
        <v>400641611</v>
      </c>
      <c r="C45" s="4">
        <v>235065687</v>
      </c>
      <c r="D45" s="13">
        <f t="shared" si="0"/>
        <v>165575924</v>
      </c>
      <c r="E45" s="3">
        <v>35832773</v>
      </c>
      <c r="F45" s="4">
        <v>176030036</v>
      </c>
      <c r="G45" s="3">
        <v>10285076</v>
      </c>
      <c r="H45" s="4">
        <v>55055544</v>
      </c>
      <c r="I45" s="7">
        <f>(E45/$G$2)*1000</f>
        <v>3909.0829453462384</v>
      </c>
      <c r="J45" s="7">
        <f>(F45/$G$2)*1000</f>
        <v>19203.537822659844</v>
      </c>
      <c r="K45" s="6">
        <f>((E45-F45)/G45)*1000</f>
        <v>-13631.135346010084</v>
      </c>
      <c r="L45" s="14">
        <f t="shared" si="1"/>
        <v>1807.7917946352559</v>
      </c>
      <c r="M45" s="8">
        <v>0</v>
      </c>
      <c r="O45" s="1">
        <v>18593276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9228-5F1C-4D6F-BBC1-BEA2403A538C}">
  <dimension ref="B1:B45"/>
  <sheetViews>
    <sheetView topLeftCell="A16" workbookViewId="0">
      <selection activeCell="B11" sqref="B11"/>
    </sheetView>
  </sheetViews>
  <sheetFormatPr baseColWidth="10" defaultRowHeight="15" x14ac:dyDescent="0.25"/>
  <sheetData>
    <row r="1" spans="2:2" x14ac:dyDescent="0.25">
      <c r="B1" t="s">
        <v>47</v>
      </c>
    </row>
    <row r="2" spans="2:2" x14ac:dyDescent="0.25">
      <c r="B2">
        <v>578121979</v>
      </c>
    </row>
    <row r="3" spans="2:2" x14ac:dyDescent="0.25">
      <c r="B3">
        <v>208393057</v>
      </c>
    </row>
    <row r="4" spans="2:2" x14ac:dyDescent="0.25">
      <c r="B4">
        <v>217375773</v>
      </c>
    </row>
    <row r="5" spans="2:2" x14ac:dyDescent="0.25">
      <c r="B5">
        <v>209880224</v>
      </c>
    </row>
    <row r="6" spans="2:2" x14ac:dyDescent="0.25">
      <c r="B6">
        <v>764591060</v>
      </c>
    </row>
    <row r="7" spans="2:2" x14ac:dyDescent="0.25">
      <c r="B7">
        <v>219122319</v>
      </c>
    </row>
    <row r="8" spans="2:2" x14ac:dyDescent="0.25">
      <c r="B8">
        <v>212901636</v>
      </c>
    </row>
    <row r="9" spans="2:2" x14ac:dyDescent="0.25">
      <c r="B9">
        <v>224660159</v>
      </c>
    </row>
    <row r="10" spans="2:2" x14ac:dyDescent="0.25">
      <c r="B10">
        <v>819221689</v>
      </c>
    </row>
    <row r="11" spans="2:2" x14ac:dyDescent="0.25">
      <c r="B11">
        <v>207694672</v>
      </c>
    </row>
    <row r="12" spans="2:2" x14ac:dyDescent="0.25">
      <c r="B12">
        <v>136308830</v>
      </c>
    </row>
    <row r="13" spans="2:2" x14ac:dyDescent="0.25">
      <c r="B13">
        <v>185657817</v>
      </c>
    </row>
    <row r="14" spans="2:2" x14ac:dyDescent="0.25">
      <c r="B14">
        <v>908360718</v>
      </c>
    </row>
    <row r="15" spans="2:2" x14ac:dyDescent="0.25">
      <c r="B15">
        <v>200666034</v>
      </c>
    </row>
    <row r="16" spans="2:2" x14ac:dyDescent="0.25">
      <c r="B16">
        <v>202061733</v>
      </c>
    </row>
    <row r="17" spans="2:2" x14ac:dyDescent="0.25">
      <c r="B17">
        <v>183950382</v>
      </c>
    </row>
    <row r="18" spans="2:2" x14ac:dyDescent="0.25">
      <c r="B18">
        <v>358269127</v>
      </c>
    </row>
    <row r="19" spans="2:2" x14ac:dyDescent="0.25">
      <c r="B19">
        <v>231948908</v>
      </c>
    </row>
    <row r="20" spans="2:2" x14ac:dyDescent="0.25">
      <c r="B20">
        <v>240032772</v>
      </c>
    </row>
    <row r="21" spans="2:2" x14ac:dyDescent="0.25">
      <c r="B21">
        <v>108556856</v>
      </c>
    </row>
    <row r="22" spans="2:2" x14ac:dyDescent="0.25">
      <c r="B22">
        <v>419061385</v>
      </c>
    </row>
    <row r="23" spans="2:2" x14ac:dyDescent="0.25">
      <c r="B23">
        <v>184064802</v>
      </c>
    </row>
    <row r="24" spans="2:2" x14ac:dyDescent="0.25">
      <c r="B24">
        <v>275272824</v>
      </c>
    </row>
    <row r="25" spans="2:2" x14ac:dyDescent="0.25">
      <c r="B25">
        <v>188580309</v>
      </c>
    </row>
    <row r="26" spans="2:2" x14ac:dyDescent="0.25">
      <c r="B26">
        <v>435076894</v>
      </c>
    </row>
    <row r="27" spans="2:2" x14ac:dyDescent="0.25">
      <c r="B27">
        <v>182725719</v>
      </c>
    </row>
    <row r="28" spans="2:2" x14ac:dyDescent="0.25">
      <c r="B28">
        <v>196686417</v>
      </c>
    </row>
    <row r="29" spans="2:2" x14ac:dyDescent="0.25">
      <c r="B29">
        <v>202491225</v>
      </c>
    </row>
    <row r="30" spans="2:2" x14ac:dyDescent="0.25">
      <c r="B30">
        <v>355358606</v>
      </c>
    </row>
    <row r="31" spans="2:2" x14ac:dyDescent="0.25">
      <c r="B31">
        <v>200109920</v>
      </c>
    </row>
    <row r="32" spans="2:2" x14ac:dyDescent="0.25">
      <c r="B32">
        <v>179282099</v>
      </c>
    </row>
    <row r="33" spans="2:2" x14ac:dyDescent="0.25">
      <c r="B33">
        <v>164711613</v>
      </c>
    </row>
    <row r="34" spans="2:2" x14ac:dyDescent="0.25">
      <c r="B34">
        <v>293057844</v>
      </c>
    </row>
    <row r="35" spans="2:2" x14ac:dyDescent="0.25">
      <c r="B35">
        <v>191490240</v>
      </c>
    </row>
    <row r="36" spans="2:2" x14ac:dyDescent="0.25">
      <c r="B36">
        <v>176790740</v>
      </c>
    </row>
    <row r="37" spans="2:2" x14ac:dyDescent="0.25">
      <c r="B37">
        <v>163475842</v>
      </c>
    </row>
    <row r="38" spans="2:2" x14ac:dyDescent="0.25">
      <c r="B38">
        <v>410201268</v>
      </c>
    </row>
    <row r="39" spans="2:2" x14ac:dyDescent="0.25">
      <c r="B39">
        <v>228094685</v>
      </c>
    </row>
    <row r="40" spans="2:2" x14ac:dyDescent="0.25">
      <c r="B40">
        <v>217095449</v>
      </c>
    </row>
    <row r="41" spans="2:2" x14ac:dyDescent="0.25">
      <c r="B41">
        <v>212686419</v>
      </c>
    </row>
    <row r="42" spans="2:2" x14ac:dyDescent="0.25">
      <c r="B42">
        <v>562895484</v>
      </c>
    </row>
    <row r="43" spans="2:2" x14ac:dyDescent="0.25">
      <c r="B43">
        <v>361087241</v>
      </c>
    </row>
    <row r="44" spans="2:2" x14ac:dyDescent="0.25">
      <c r="B44">
        <v>221365530</v>
      </c>
    </row>
    <row r="45" spans="2:2" x14ac:dyDescent="0.25">
      <c r="B45">
        <v>55055544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base_subna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SEBASTIAN MENDOZA HURTADO</dc:creator>
  <cp:lastModifiedBy>GONZALO SEBASTIAN MENDOZA HURTADO</cp:lastModifiedBy>
  <dcterms:created xsi:type="dcterms:W3CDTF">2025-11-07T00:47:55Z</dcterms:created>
  <dcterms:modified xsi:type="dcterms:W3CDTF">2025-11-11T02:17:01Z</dcterms:modified>
</cp:coreProperties>
</file>